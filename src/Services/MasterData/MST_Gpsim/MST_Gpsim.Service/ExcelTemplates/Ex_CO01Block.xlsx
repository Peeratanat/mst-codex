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Doc\GP-ROI\ไฟล์ตัวอย่าง\"/>
    </mc:Choice>
  </mc:AlternateContent>
  <xr:revisionPtr revIDLastSave="0" documentId="13_ncr:1_{33B97B0B-C7BC-4B7F-AA90-47FB02E88F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4072_Cutlot_Full" sheetId="1" r:id="rId1"/>
    <sheet name="GPTemplate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\\\\\\\\\\\\\\\\\\\\\" localSheetId="1">#REF!</definedName>
    <definedName name="\\\\\\\\\\\\\\\\\\\\\">#REF!</definedName>
    <definedName name="\a" localSheetId="1">#REF!</definedName>
    <definedName name="\a">#REF!</definedName>
    <definedName name="\b">#N/A</definedName>
    <definedName name="\c" localSheetId="1">#REF!</definedName>
    <definedName name="\c">#REF!</definedName>
    <definedName name="\e">#N/A</definedName>
    <definedName name="\h" localSheetId="1">#REF!</definedName>
    <definedName name="\h">#REF!</definedName>
    <definedName name="\l" localSheetId="1">#REF!</definedName>
    <definedName name="\l">#REF!</definedName>
    <definedName name="\p">#N/A</definedName>
    <definedName name="\q">#N/A</definedName>
    <definedName name="\w">#N/A</definedName>
    <definedName name="\z">#N/A</definedName>
    <definedName name="_" localSheetId="1" hidden="1">'[1]#REF'!#REF!</definedName>
    <definedName name="_" hidden="1">'[1]#REF'!#REF!</definedName>
    <definedName name="_________str1" localSheetId="1">#REF!</definedName>
    <definedName name="_________str1">#REF!</definedName>
    <definedName name="_________str2" localSheetId="1">#REF!</definedName>
    <definedName name="_________str2">#REF!</definedName>
    <definedName name="_________str3" localSheetId="1">#REF!</definedName>
    <definedName name="_________str3">#REF!</definedName>
    <definedName name="________str1" localSheetId="1">#REF!</definedName>
    <definedName name="________str1">#REF!</definedName>
    <definedName name="________str2" localSheetId="1">#REF!</definedName>
    <definedName name="________str2">#REF!</definedName>
    <definedName name="________str3" localSheetId="1">#REF!</definedName>
    <definedName name="________str3">#REF!</definedName>
    <definedName name="________TP2" localSheetId="1">#REF!</definedName>
    <definedName name="________TP2">#REF!</definedName>
    <definedName name="_______day12" localSheetId="1">#REF!</definedName>
    <definedName name="_______day12">#REF!</definedName>
    <definedName name="_______day13" localSheetId="1">#REF!</definedName>
    <definedName name="_______day13">#REF!</definedName>
    <definedName name="_______day19" localSheetId="1">#REF!</definedName>
    <definedName name="_______day19">#REF!</definedName>
    <definedName name="_______day2" localSheetId="1">#REF!</definedName>
    <definedName name="_______day2">#REF!</definedName>
    <definedName name="_______DOO1" localSheetId="1">#REF!</definedName>
    <definedName name="_______DOO1">#REF!</definedName>
    <definedName name="_______FAC1">[2]สรุป!$C$307</definedName>
    <definedName name="_______str1" localSheetId="1">#REF!</definedName>
    <definedName name="_______str1">#REF!</definedName>
    <definedName name="_______str2" localSheetId="1">#REF!</definedName>
    <definedName name="_______str2">#REF!</definedName>
    <definedName name="_______str3" localSheetId="1">#REF!</definedName>
    <definedName name="_______str3">#REF!</definedName>
    <definedName name="_______TP2" localSheetId="1">#REF!</definedName>
    <definedName name="_______TP2">#REF!</definedName>
    <definedName name="_______WIN1" localSheetId="1">#REF!</definedName>
    <definedName name="_______WIN1">#REF!</definedName>
    <definedName name="______day12" localSheetId="1">#REF!</definedName>
    <definedName name="______day12">#REF!</definedName>
    <definedName name="______day13" localSheetId="1">#REF!</definedName>
    <definedName name="______day13">#REF!</definedName>
    <definedName name="______day19" localSheetId="1">#REF!</definedName>
    <definedName name="______day19">#REF!</definedName>
    <definedName name="______day2" localSheetId="1">#REF!</definedName>
    <definedName name="______day2">#REF!</definedName>
    <definedName name="______day3" localSheetId="1">#REF!</definedName>
    <definedName name="______day3">#REF!</definedName>
    <definedName name="______day4" localSheetId="1">#REF!</definedName>
    <definedName name="______day4">#REF!</definedName>
    <definedName name="______day5" localSheetId="1">#REF!</definedName>
    <definedName name="______day5">#REF!</definedName>
    <definedName name="______day6" localSheetId="1">#REF!</definedName>
    <definedName name="______day6">#REF!</definedName>
    <definedName name="______day7" localSheetId="1">#REF!</definedName>
    <definedName name="______day7">#REF!</definedName>
    <definedName name="______DOO1" localSheetId="1">#REF!</definedName>
    <definedName name="______DOO1">#REF!</definedName>
    <definedName name="______FAC1">[3]สรุป!$C$307</definedName>
    <definedName name="______str1" localSheetId="1">#REF!</definedName>
    <definedName name="______str1">#REF!</definedName>
    <definedName name="______str2" localSheetId="1">#REF!</definedName>
    <definedName name="______str2">#REF!</definedName>
    <definedName name="______str3" localSheetId="1">#REF!</definedName>
    <definedName name="______str3">#REF!</definedName>
    <definedName name="______TP2" localSheetId="1">#REF!</definedName>
    <definedName name="______TP2">#REF!</definedName>
    <definedName name="______WIN1" localSheetId="1">#REF!</definedName>
    <definedName name="______WIN1">#REF!</definedName>
    <definedName name="_____day3" localSheetId="1">#REF!</definedName>
    <definedName name="_____day3">#REF!</definedName>
    <definedName name="_____day4" localSheetId="1">#REF!</definedName>
    <definedName name="_____day4">#REF!</definedName>
    <definedName name="_____day5" localSheetId="1">#REF!</definedName>
    <definedName name="_____day5">#REF!</definedName>
    <definedName name="_____day6" localSheetId="1">#REF!</definedName>
    <definedName name="_____day6">#REF!</definedName>
    <definedName name="_____day7" localSheetId="1">#REF!</definedName>
    <definedName name="_____day7">#REF!</definedName>
    <definedName name="_____day8" localSheetId="1">#REF!</definedName>
    <definedName name="_____day8">#REF!</definedName>
    <definedName name="_____day9" localSheetId="1">#REF!</definedName>
    <definedName name="_____day9">#REF!</definedName>
    <definedName name="_____DOO1" localSheetId="1">#REF!</definedName>
    <definedName name="_____DOO1">#REF!</definedName>
    <definedName name="_____FAC1">[3]สรุป!$C$307</definedName>
    <definedName name="_____str1" localSheetId="1">#REF!</definedName>
    <definedName name="_____str1">#REF!</definedName>
    <definedName name="_____str2" localSheetId="1">#REF!</definedName>
    <definedName name="_____str2">#REF!</definedName>
    <definedName name="_____str3" localSheetId="1">#REF!</definedName>
    <definedName name="_____str3">#REF!</definedName>
    <definedName name="_____TP2" localSheetId="1">#REF!</definedName>
    <definedName name="_____TP2">#REF!</definedName>
    <definedName name="_____WIN1" localSheetId="1">#REF!</definedName>
    <definedName name="_____WIN1">#REF!</definedName>
    <definedName name="____day1" localSheetId="1">#REF!</definedName>
    <definedName name="____day1">#REF!</definedName>
    <definedName name="____day10" localSheetId="1">#REF!</definedName>
    <definedName name="____day10">#REF!</definedName>
    <definedName name="____day11" localSheetId="1">#REF!</definedName>
    <definedName name="____day11">#REF!</definedName>
    <definedName name="____day12" localSheetId="1">#REF!</definedName>
    <definedName name="____day12">#REF!</definedName>
    <definedName name="____day13" localSheetId="1">#REF!</definedName>
    <definedName name="____day13">#REF!</definedName>
    <definedName name="____day19" localSheetId="1">#REF!</definedName>
    <definedName name="____day19">#REF!</definedName>
    <definedName name="____day2" localSheetId="1">#REF!</definedName>
    <definedName name="____day2">#REF!</definedName>
    <definedName name="____day3" localSheetId="1">#REF!</definedName>
    <definedName name="____day3">#REF!</definedName>
    <definedName name="____day4" localSheetId="1">#REF!</definedName>
    <definedName name="____day4">#REF!</definedName>
    <definedName name="____day5" localSheetId="1">#REF!</definedName>
    <definedName name="____day5">#REF!</definedName>
    <definedName name="____day6" localSheetId="1">#REF!</definedName>
    <definedName name="____day6">#REF!</definedName>
    <definedName name="____day7" localSheetId="1">#REF!</definedName>
    <definedName name="____day7">#REF!</definedName>
    <definedName name="____day8" localSheetId="1">#REF!</definedName>
    <definedName name="____day8">#REF!</definedName>
    <definedName name="____day9" localSheetId="1">#REF!</definedName>
    <definedName name="____day9">#REF!</definedName>
    <definedName name="____DOO1" localSheetId="1">#REF!</definedName>
    <definedName name="____DOO1">#REF!</definedName>
    <definedName name="____FAC1">[3]สรุป!$C$307</definedName>
    <definedName name="____str1" localSheetId="1">#REF!</definedName>
    <definedName name="____str1">#REF!</definedName>
    <definedName name="____str2" localSheetId="1">#REF!</definedName>
    <definedName name="____str2">#REF!</definedName>
    <definedName name="____str3" localSheetId="1">#REF!</definedName>
    <definedName name="____str3">#REF!</definedName>
    <definedName name="____TP2" localSheetId="1">#REF!</definedName>
    <definedName name="____TP2">#REF!</definedName>
    <definedName name="____WIN1" localSheetId="1">#REF!</definedName>
    <definedName name="____WIN1">#REF!</definedName>
    <definedName name="___day1" localSheetId="1">#REF!</definedName>
    <definedName name="___day1">#REF!</definedName>
    <definedName name="___day10" localSheetId="1">#REF!</definedName>
    <definedName name="___day10">#REF!</definedName>
    <definedName name="___day11" localSheetId="1">#REF!</definedName>
    <definedName name="___day11">#REF!</definedName>
    <definedName name="___day12" localSheetId="1">#REF!</definedName>
    <definedName name="___day12">#REF!</definedName>
    <definedName name="___day13" localSheetId="1">#REF!</definedName>
    <definedName name="___day13">#REF!</definedName>
    <definedName name="___day19" localSheetId="1">#REF!</definedName>
    <definedName name="___day19">#REF!</definedName>
    <definedName name="___day2" localSheetId="1">#REF!</definedName>
    <definedName name="___day2">#REF!</definedName>
    <definedName name="___day3" localSheetId="1">#REF!</definedName>
    <definedName name="___day3">#REF!</definedName>
    <definedName name="___day4" localSheetId="1">#REF!</definedName>
    <definedName name="___day4">#REF!</definedName>
    <definedName name="___day5" localSheetId="1">#REF!</definedName>
    <definedName name="___day5">#REF!</definedName>
    <definedName name="___day6" localSheetId="1">#REF!</definedName>
    <definedName name="___day6">#REF!</definedName>
    <definedName name="___day7" localSheetId="1">#REF!</definedName>
    <definedName name="___day7">#REF!</definedName>
    <definedName name="___day8" localSheetId="1">#REF!</definedName>
    <definedName name="___day8">#REF!</definedName>
    <definedName name="___day9" localSheetId="1">#REF!</definedName>
    <definedName name="___day9">#REF!</definedName>
    <definedName name="___DOO1" localSheetId="1">#REF!</definedName>
    <definedName name="___DOO1">#REF!</definedName>
    <definedName name="___FAC1">[3]สรุป!$C$307</definedName>
    <definedName name="___str1" localSheetId="1">#REF!</definedName>
    <definedName name="___str1">#REF!</definedName>
    <definedName name="___str2" localSheetId="1">#REF!</definedName>
    <definedName name="___str2">#REF!</definedName>
    <definedName name="___str3" localSheetId="1">#REF!</definedName>
    <definedName name="___str3">#REF!</definedName>
    <definedName name="___TP2" localSheetId="1">#REF!</definedName>
    <definedName name="___TP2">#REF!</definedName>
    <definedName name="___WIN1" localSheetId="1">#REF!</definedName>
    <definedName name="___WIN1">#REF!</definedName>
    <definedName name="__123Graph_B" localSheetId="1" hidden="1">[4]tifico!#REF!</definedName>
    <definedName name="__123Graph_B" hidden="1">[4]tifico!#REF!</definedName>
    <definedName name="__123Graph_C" localSheetId="1" hidden="1">[4]tifico!#REF!</definedName>
    <definedName name="__123Graph_C" hidden="1">[4]tifico!#REF!</definedName>
    <definedName name="__123Graph_D" localSheetId="1" hidden="1">[5]FR!#REF!</definedName>
    <definedName name="__123Graph_D" hidden="1">[5]FR!#REF!</definedName>
    <definedName name="__123Graph_E" localSheetId="1" hidden="1">[4]tifico!#REF!</definedName>
    <definedName name="__123Graph_E" hidden="1">[4]tifico!#REF!</definedName>
    <definedName name="__123Graph_F" localSheetId="1" hidden="1">[6]escon!#REF!</definedName>
    <definedName name="__123Graph_F" hidden="1">[6]escon!#REF!</definedName>
    <definedName name="__123Graph_X" localSheetId="1" hidden="1">[4]tifico!#REF!</definedName>
    <definedName name="__123Graph_X" hidden="1">[4]tifico!#REF!</definedName>
    <definedName name="__day1" localSheetId="1">#REF!</definedName>
    <definedName name="__day1">#REF!</definedName>
    <definedName name="__day10" localSheetId="1">#REF!</definedName>
    <definedName name="__day10">#REF!</definedName>
    <definedName name="__day11" localSheetId="1">#REF!</definedName>
    <definedName name="__day11">#REF!</definedName>
    <definedName name="__day12" localSheetId="1">#REF!</definedName>
    <definedName name="__day12">#REF!</definedName>
    <definedName name="__day13" localSheetId="1">#REF!</definedName>
    <definedName name="__day13">#REF!</definedName>
    <definedName name="__day19" localSheetId="1">#REF!</definedName>
    <definedName name="__day19">#REF!</definedName>
    <definedName name="__day2" localSheetId="1">#REF!</definedName>
    <definedName name="__day2">#REF!</definedName>
    <definedName name="__day3" localSheetId="1">#REF!</definedName>
    <definedName name="__day3">#REF!</definedName>
    <definedName name="__day4" localSheetId="1">#REF!</definedName>
    <definedName name="__day4">#REF!</definedName>
    <definedName name="__day5" localSheetId="1">#REF!</definedName>
    <definedName name="__day5">#REF!</definedName>
    <definedName name="__day6" localSheetId="1">#REF!</definedName>
    <definedName name="__day6">#REF!</definedName>
    <definedName name="__day7" localSheetId="1">#REF!</definedName>
    <definedName name="__day7">#REF!</definedName>
    <definedName name="__day8" localSheetId="1">#REF!</definedName>
    <definedName name="__day8">#REF!</definedName>
    <definedName name="__day9" localSheetId="1">#REF!</definedName>
    <definedName name="__day9">#REF!</definedName>
    <definedName name="__DOO1" localSheetId="1">#REF!</definedName>
    <definedName name="__DOO1">#REF!</definedName>
    <definedName name="__FAC1">[3]สรุป!$C$307</definedName>
    <definedName name="__JJ10" localSheetId="1">#REF!</definedName>
    <definedName name="__JJ10">#REF!</definedName>
    <definedName name="__JJ11" localSheetId="1">#REF!</definedName>
    <definedName name="__JJ11">#REF!</definedName>
    <definedName name="__JJ12" localSheetId="1">#REF!</definedName>
    <definedName name="__JJ12">#REF!</definedName>
    <definedName name="__JJ13" localSheetId="1">#REF!</definedName>
    <definedName name="__JJ13">#REF!</definedName>
    <definedName name="__JJ14" localSheetId="1">#REF!</definedName>
    <definedName name="__JJ14">#REF!</definedName>
    <definedName name="__JJ15" localSheetId="1">#REF!</definedName>
    <definedName name="__JJ15">#REF!</definedName>
    <definedName name="__JJ16" localSheetId="1">#REF!</definedName>
    <definedName name="__JJ16">#REF!</definedName>
    <definedName name="__JJ17" localSheetId="1">#REF!</definedName>
    <definedName name="__JJ17">#REF!</definedName>
    <definedName name="__JJ2" localSheetId="1">#REF!</definedName>
    <definedName name="__JJ2">#REF!</definedName>
    <definedName name="__JJ3" localSheetId="1">#REF!</definedName>
    <definedName name="__JJ3">#REF!</definedName>
    <definedName name="__JJ4" localSheetId="1">#REF!</definedName>
    <definedName name="__JJ4">#REF!</definedName>
    <definedName name="__JJ5" localSheetId="1">#REF!</definedName>
    <definedName name="__JJ5">#REF!</definedName>
    <definedName name="__JJ6" localSheetId="1">#REF!</definedName>
    <definedName name="__JJ6">#REF!</definedName>
    <definedName name="__JJ7" localSheetId="1">#REF!</definedName>
    <definedName name="__JJ7">#REF!</definedName>
    <definedName name="__JJ8" localSheetId="1">#REF!</definedName>
    <definedName name="__JJ8">#REF!</definedName>
    <definedName name="__JJ9" localSheetId="1">#REF!</definedName>
    <definedName name="__JJ9">#REF!</definedName>
    <definedName name="__str1" localSheetId="1">#REF!</definedName>
    <definedName name="__str1">#REF!</definedName>
    <definedName name="__str2" localSheetId="1">#REF!</definedName>
    <definedName name="__str2">#REF!</definedName>
    <definedName name="__str3" localSheetId="1">#REF!</definedName>
    <definedName name="__str3">#REF!</definedName>
    <definedName name="__TP2" localSheetId="1">#REF!</definedName>
    <definedName name="__TP2">#REF!</definedName>
    <definedName name="__WIN1" localSheetId="1">#REF!</definedName>
    <definedName name="__WIN1">#REF!</definedName>
    <definedName name="__xlfn_BAHTTEXT">#N/A</definedName>
    <definedName name="__xlfn_IFERROR">#N/A</definedName>
    <definedName name="__xlfn_SUMIFS">#N/A</definedName>
    <definedName name="_1">#N/A</definedName>
    <definedName name="_10" localSheetId="1">#REF!</definedName>
    <definedName name="_10">#REF!</definedName>
    <definedName name="_10Excel_BuiltIn_Print_Area_3_1_1_1_1" localSheetId="1">#REF!</definedName>
    <definedName name="_10Excel_BuiltIn_Print_Area_3_1_1_1_1">#REF!</definedName>
    <definedName name="_11" localSheetId="1">#REF!</definedName>
    <definedName name="_11">#REF!</definedName>
    <definedName name="_12" localSheetId="1">#REF!</definedName>
    <definedName name="_12">#REF!</definedName>
    <definedName name="_12_0_0_F" localSheetId="1" hidden="1">[7]DETAIL!#REF!</definedName>
    <definedName name="_12_0_0_F" hidden="1">[7]DETAIL!#REF!</definedName>
    <definedName name="_123Graph_F" localSheetId="1" hidden="1">[8]escon!#REF!</definedName>
    <definedName name="_123Graph_F" hidden="1">[8]escon!#REF!</definedName>
    <definedName name="_12Excel_BuiltIn_Print_Area_3_1" localSheetId="1">#REF!</definedName>
    <definedName name="_12Excel_BuiltIn_Print_Area_3_1">#REF!</definedName>
    <definedName name="_13" localSheetId="1">#REF!</definedName>
    <definedName name="_13">#REF!</definedName>
    <definedName name="_13Excel_BuiltIn_Print_Area_3_1_1_1_1" localSheetId="1">#REF!</definedName>
    <definedName name="_13Excel_BuiltIn_Print_Area_3_1_1_1_1">#REF!</definedName>
    <definedName name="_14" localSheetId="1">#REF!</definedName>
    <definedName name="_14">#REF!</definedName>
    <definedName name="_15" localSheetId="1">#REF!</definedName>
    <definedName name="_15">#REF!</definedName>
    <definedName name="_15f2_" hidden="1">{"'장비'!$A$3:$M$12"}</definedName>
    <definedName name="_16" localSheetId="1">#REF!</definedName>
    <definedName name="_16">#REF!</definedName>
    <definedName name="_17" localSheetId="1">#REF!</definedName>
    <definedName name="_17">#REF!</definedName>
    <definedName name="_18" localSheetId="1">#REF!</definedName>
    <definedName name="_18">#REF!</definedName>
    <definedName name="_19" localSheetId="1">#REF!</definedName>
    <definedName name="_19">#REF!</definedName>
    <definedName name="_1Excel_BuiltIn_Print_Area_3_1" localSheetId="1">#REF!</definedName>
    <definedName name="_1Excel_BuiltIn_Print_Area_3_1">#REF!</definedName>
    <definedName name="_2">#N/A</definedName>
    <definedName name="_20" localSheetId="1">#REF!</definedName>
    <definedName name="_20">#REF!</definedName>
    <definedName name="_2Excel_BuiltIn_Print_Area_3_1_1_1_1" localSheetId="1">#REF!</definedName>
    <definedName name="_2Excel_BuiltIn_Print_Area_3_1_1_1_1">#REF!</definedName>
    <definedName name="_3">#N/A</definedName>
    <definedName name="_3_0_0_F" localSheetId="1" hidden="1">[7]DETAIL!#REF!</definedName>
    <definedName name="_3_0_0_F" hidden="1">[7]DETAIL!#REF!</definedName>
    <definedName name="_3F" localSheetId="1" hidden="1">'[1]#REF'!#REF!</definedName>
    <definedName name="_3F" hidden="1">'[1]#REF'!#REF!</definedName>
    <definedName name="_4.0___M_E_COST_BREAKDOWN" localSheetId="1">#REF!</definedName>
    <definedName name="_4.0___M_E_COST_BREAKDOWN">#REF!</definedName>
    <definedName name="_4.0___M_E_COST_BREAKDOWN___0" localSheetId="1">#REF!</definedName>
    <definedName name="_4.0___M_E_COST_BREAKDOWN___0">#REF!</definedName>
    <definedName name="_4_0___M_E_COST_BREAKDOWN" localSheetId="1">#REF!</definedName>
    <definedName name="_4_0___M_E_COST_BREAKDOWN">#REF!</definedName>
    <definedName name="_4_0___M_E_COST_BREAKDOWN___0" localSheetId="1">#REF!</definedName>
    <definedName name="_4_0___M_E_COST_BREAKDOWN___0">#REF!</definedName>
    <definedName name="_4Excel_BuiltIn_Print_Area_3_1" localSheetId="1">#REF!</definedName>
    <definedName name="_4Excel_BuiltIn_Print_Area_3_1">#REF!</definedName>
    <definedName name="_5_0_0_F" localSheetId="1" hidden="1">'[1]#REF'!#REF!</definedName>
    <definedName name="_5_0_0_F" hidden="1">'[1]#REF'!#REF!</definedName>
    <definedName name="_5Excel_BuiltIn_Print_Area_3_1" localSheetId="1">#REF!</definedName>
    <definedName name="_5Excel_BuiltIn_Print_Area_3_1">#REF!</definedName>
    <definedName name="_8Excel_BuiltIn_Print_Area_3_1_1_1_1" localSheetId="1">#REF!</definedName>
    <definedName name="_8Excel_BuiltIn_Print_Area_3_1_1_1_1">#REF!</definedName>
    <definedName name="_a" localSheetId="1">#REF!</definedName>
    <definedName name="_a">#REF!</definedName>
    <definedName name="_a___0" localSheetId="1">#REF!</definedName>
    <definedName name="_a___0">#REF!</definedName>
    <definedName name="_a___4" localSheetId="1">#REF!</definedName>
    <definedName name="_a___4">#REF!</definedName>
    <definedName name="_a1" hidden="1">{"cashflow",#N/A,FALSE,"CASHFLOW "}</definedName>
    <definedName name="_a10" hidden="1">{"sales",#N/A,FALSE,"SALES"}</definedName>
    <definedName name="_a2" hidden="1">{"hilight1",#N/A,FALSE,"HILIGHT1"}</definedName>
    <definedName name="_a21" hidden="1">{"hilight1",#N/A,FALSE,"HILIGHT1"}</definedName>
    <definedName name="_a212" hidden="1">{"revable",#N/A,FALSE,"REVABLE"}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b">#N/A</definedName>
    <definedName name="_c" localSheetId="1">#REF!</definedName>
    <definedName name="_c">#REF!</definedName>
    <definedName name="_c___0" localSheetId="1">#REF!</definedName>
    <definedName name="_c___0">#REF!</definedName>
    <definedName name="_c___4" localSheetId="1">#REF!</definedName>
    <definedName name="_c___4">#REF!</definedName>
    <definedName name="_d" localSheetId="1">'[9]SAN REDUCED 1'!#REF!</definedName>
    <definedName name="_d">'[9]SAN REDUCED 1'!#REF!</definedName>
    <definedName name="_day1" localSheetId="1">#REF!</definedName>
    <definedName name="_day1">#REF!</definedName>
    <definedName name="_day10" localSheetId="1">#REF!</definedName>
    <definedName name="_day10">#REF!</definedName>
    <definedName name="_day11" localSheetId="1">#REF!</definedName>
    <definedName name="_day11">#REF!</definedName>
    <definedName name="_day12" localSheetId="1">#REF!</definedName>
    <definedName name="_day12">#REF!</definedName>
    <definedName name="_day13" localSheetId="1">#REF!</definedName>
    <definedName name="_day13">#REF!</definedName>
    <definedName name="_day19" localSheetId="1">#REF!</definedName>
    <definedName name="_day19">#REF!</definedName>
    <definedName name="_day2" localSheetId="1">#REF!</definedName>
    <definedName name="_day2">#REF!</definedName>
    <definedName name="_day3" localSheetId="1">#REF!</definedName>
    <definedName name="_day3">#REF!</definedName>
    <definedName name="_day4" localSheetId="1">#REF!</definedName>
    <definedName name="_day4">#REF!</definedName>
    <definedName name="_day5" localSheetId="1">#REF!</definedName>
    <definedName name="_day5">#REF!</definedName>
    <definedName name="_day6" localSheetId="1">#REF!</definedName>
    <definedName name="_day6">#REF!</definedName>
    <definedName name="_day7" localSheetId="1">#REF!</definedName>
    <definedName name="_day7">#REF!</definedName>
    <definedName name="_day8" localSheetId="1">#REF!</definedName>
    <definedName name="_day8">#REF!</definedName>
    <definedName name="_day9" localSheetId="1">#REF!</definedName>
    <definedName name="_day9">#REF!</definedName>
    <definedName name="_DOO1" localSheetId="1">#REF!</definedName>
    <definedName name="_DOO1">#REF!</definedName>
    <definedName name="_e">#N/A</definedName>
    <definedName name="_eee1" hidden="1">{"revsale",#N/A,FALSE,"REV-ยุพดี"}</definedName>
    <definedName name="_FAB4" localSheetId="1" hidden="1">'[10]F4-F7'!#REF!</definedName>
    <definedName name="_FAB4" hidden="1">'[10]F4-F7'!#REF!</definedName>
    <definedName name="_FAC1">[3]สรุป!$C$307</definedName>
    <definedName name="_Fill" localSheetId="1" hidden="1">[11]PL!#REF!</definedName>
    <definedName name="_Fill" hidden="1">[11]PL!#REF!</definedName>
    <definedName name="_xlnm._FilterDatabase" localSheetId="0" hidden="1">'4072_Cutlot_Full'!$A$7:$AK$53</definedName>
    <definedName name="_xlnm._FilterDatabase" localSheetId="1" hidden="1">#REF!</definedName>
    <definedName name="_xlnm._FilterDatabase" hidden="1">#REF!</definedName>
    <definedName name="_h" localSheetId="1">#REF!</definedName>
    <definedName name="_h">#REF!</definedName>
    <definedName name="_JJ10" localSheetId="1">#REF!</definedName>
    <definedName name="_JJ10">#REF!</definedName>
    <definedName name="_JJ11" localSheetId="1">#REF!</definedName>
    <definedName name="_JJ11">#REF!</definedName>
    <definedName name="_JJ12" localSheetId="1">#REF!</definedName>
    <definedName name="_JJ12">#REF!</definedName>
    <definedName name="_JJ13" localSheetId="1">#REF!</definedName>
    <definedName name="_JJ13">#REF!</definedName>
    <definedName name="_JJ14" localSheetId="1">#REF!</definedName>
    <definedName name="_JJ14">#REF!</definedName>
    <definedName name="_JJ15" localSheetId="1">#REF!</definedName>
    <definedName name="_JJ15">#REF!</definedName>
    <definedName name="_JJ16" localSheetId="1">#REF!</definedName>
    <definedName name="_JJ16">#REF!</definedName>
    <definedName name="_JJ17" localSheetId="1">#REF!</definedName>
    <definedName name="_JJ17">#REF!</definedName>
    <definedName name="_JJ2" localSheetId="1">#REF!</definedName>
    <definedName name="_JJ2">#REF!</definedName>
    <definedName name="_JJ3" localSheetId="1">#REF!</definedName>
    <definedName name="_JJ3">#REF!</definedName>
    <definedName name="_JJ4" localSheetId="1">#REF!</definedName>
    <definedName name="_JJ4">#REF!</definedName>
    <definedName name="_JJ5" localSheetId="1">#REF!</definedName>
    <definedName name="_JJ5">#REF!</definedName>
    <definedName name="_JJ6" localSheetId="1">#REF!</definedName>
    <definedName name="_JJ6">#REF!</definedName>
    <definedName name="_JJ7" localSheetId="1">#REF!</definedName>
    <definedName name="_JJ7">#REF!</definedName>
    <definedName name="_JJ8" localSheetId="1">#REF!</definedName>
    <definedName name="_JJ8">#REF!</definedName>
    <definedName name="_JJ9" localSheetId="1">#REF!</definedName>
    <definedName name="_JJ9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l" localSheetId="1">#REF!</definedName>
    <definedName name="_l">#REF!</definedName>
    <definedName name="_lll1" hidden="1">{"sales",#N/A,FALSE,"SALES"}</definedName>
    <definedName name="_LM_SUMMARY" localSheetId="1">#REF!</definedName>
    <definedName name="_LM_SUMMARY">#REF!</definedName>
    <definedName name="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Order1" hidden="1">255</definedName>
    <definedName name="_Order2" hidden="1">0</definedName>
    <definedName name="_ordr2" hidden="1">0</definedName>
    <definedName name="_ordwre2" hidden="1">0</definedName>
    <definedName name="_p">#N/A</definedName>
    <definedName name="_Parse_Out" localSheetId="1" hidden="1">#REF!</definedName>
    <definedName name="_Parse_Out" hidden="1">#REF!</definedName>
    <definedName name="_q">#N/A</definedName>
    <definedName name="_Regression_Int">1</definedName>
    <definedName name="_Sort" localSheetId="1" hidden="1">#REF!</definedName>
    <definedName name="_Sort" hidden="1">#REF!</definedName>
    <definedName name="_str1" localSheetId="1">#REF!</definedName>
    <definedName name="_str1">#REF!</definedName>
    <definedName name="_str2" localSheetId="1">#REF!</definedName>
    <definedName name="_str2">#REF!</definedName>
    <definedName name="_str3" localSheetId="1">#REF!</definedName>
    <definedName name="_str3">#REF!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P2" localSheetId="1">#REF!</definedName>
    <definedName name="_TP2">#REF!</definedName>
    <definedName name="_V1" hidden="1">{"sales",#N/A,FALSE,"SALES"}</definedName>
    <definedName name="_w">#N/A</definedName>
    <definedName name="_WIN1" localSheetId="1">#REF!</definedName>
    <definedName name="_WIN1">#REF!</definedName>
    <definedName name="_z">#N/A</definedName>
    <definedName name="a" localSheetId="1">#REF!</definedName>
    <definedName name="a">#REF!</definedName>
    <definedName name="a___0" localSheetId="1">#REF!</definedName>
    <definedName name="a___0">#REF!</definedName>
    <definedName name="A_15" localSheetId="1">#REF!</definedName>
    <definedName name="A_15">#REF!</definedName>
    <definedName name="A_CONV_L" localSheetId="1">[12]สรุป_EMC!#REF!</definedName>
    <definedName name="A_CONV_L">[12]สรุป_EMC!#REF!</definedName>
    <definedName name="A_CONV_M" localSheetId="1">[12]สรุป_EMC!#REF!</definedName>
    <definedName name="A_CONV_M">[12]สรุป_EMC!#REF!</definedName>
    <definedName name="A_MAL_L">[13]Sum_EMC!$O$8</definedName>
    <definedName name="A_MAL_M">[13]Sum_EMC!$N$8</definedName>
    <definedName name="A_RUNG_L" localSheetId="1">#REF!</definedName>
    <definedName name="A_RUNG_L">#REF!</definedName>
    <definedName name="A_RUNG_M" localSheetId="1">#REF!</definedName>
    <definedName name="A_RUNG_M">#REF!</definedName>
    <definedName name="A_RUNG_Q" localSheetId="1">#REF!</definedName>
    <definedName name="A_RUNG_Q">#REF!</definedName>
    <definedName name="A1A">'[14]แบบ A'!$E$73</definedName>
    <definedName name="A1B">'[14]แบบ A'!$H$73</definedName>
    <definedName name="A1C">'[14]แบบ A'!$K$73</definedName>
    <definedName name="A2A">'[14]แบบ A'!$E$110</definedName>
    <definedName name="A2B">'[14]แบบ A'!$H$110</definedName>
    <definedName name="A2C">'[14]แบบ A'!$K$110</definedName>
    <definedName name="A3A">'[14]แบบ A'!$E$147</definedName>
    <definedName name="A3B">'[14]แบบ A'!$H$147</definedName>
    <definedName name="A3C">'[14]แบบ A'!$K$147</definedName>
    <definedName name="A4A">'[14]แบบ A'!$E$36</definedName>
    <definedName name="A4B">'[14]แบบ A'!$H$36</definedName>
    <definedName name="A4C">'[14]แบบ A'!$K$36</definedName>
    <definedName name="aa">'[15]SH-G'!$C$1:$G$600</definedName>
    <definedName name="aaa" hidden="1">{"'SUMMATION'!$B$2:$I$2"}</definedName>
    <definedName name="aaaa" hidden="1">{"'SUMMATION'!$B$2:$I$2"}</definedName>
    <definedName name="aaaa___0" localSheetId="1">#REF!</definedName>
    <definedName name="aaaa___0">#REF!</definedName>
    <definedName name="aaaaaaaa" localSheetId="1">#REF!</definedName>
    <definedName name="aaaaaaaa">#REF!</definedName>
    <definedName name="aaaaaaaaaaaaaaaaaaaaaaaaaaaaaaaaaaaaaaaaaaaaaaaaaaaaaaaaaaaaaaaaaaaaaaaaa" localSheetId="1">#REF!</definedName>
    <definedName name="aaaaaaaaaaaaaaaaaaaaaaaaaaaaaaaaaaaaaaaaaaaaaaaaaaaaaaaaaaaaaaaaaaaaaaaaa">#REF!</definedName>
    <definedName name="aaag" hidden="1">{#N/A,#N/A,TRUE,"SUM";#N/A,#N/A,TRUE,"EE";#N/A,#N/A,TRUE,"AC";#N/A,#N/A,TRUE,"SN"}</definedName>
    <definedName name="aas" localSheetId="1">#REF!</definedName>
    <definedName name="aas">#REF!</definedName>
    <definedName name="ab" localSheetId="1">#REF!</definedName>
    <definedName name="ab">#REF!</definedName>
    <definedName name="ac_ad">1</definedName>
    <definedName name="ac_av">1</definedName>
    <definedName name="AccessDatabase" hidden="1">"C:\My Documents\tippaporn\MAT PRICE.mdb"</definedName>
    <definedName name="AD" localSheetId="1">#REF!</definedName>
    <definedName name="AD">#REF!</definedName>
    <definedName name="adsf" localSheetId="1">[16]ภูมิทัศน์!#REF!</definedName>
    <definedName name="adsf">[16]ภูมิทัศน์!#REF!</definedName>
    <definedName name="AG" localSheetId="1">#REF!</definedName>
    <definedName name="AG">#REF!</definedName>
    <definedName name="AH" localSheetId="1">#REF!</definedName>
    <definedName name="AH">#REF!</definedName>
    <definedName name="AIR" localSheetId="1">#REF!</definedName>
    <definedName name="AIR">#REF!</definedName>
    <definedName name="AL_CONV_L" localSheetId="1">[12]สรุป_EMC!#REF!</definedName>
    <definedName name="AL_CONV_L">[12]สรุป_EMC!#REF!</definedName>
    <definedName name="AL_CONV_M" localSheetId="1">[12]สรุป_EMC!#REF!</definedName>
    <definedName name="AL_CONV_M">[12]สรุป_EMC!#REF!</definedName>
    <definedName name="AN" localSheetId="1">#REF!</definedName>
    <definedName name="AN">#REF!</definedName>
    <definedName name="Analyze" localSheetId="1">#REF!</definedName>
    <definedName name="Analyze">#REF!</definedName>
    <definedName name="ar" hidden="1">{#N/A,#N/A,TRUE,"SUM";#N/A,#N/A,TRUE,"EE";#N/A,#N/A,TRUE,"AC";#N/A,#N/A,TRUE,"SN"}</definedName>
    <definedName name="ARCH_LAB">[17]ใบสรุปราคา!$N$17</definedName>
    <definedName name="ARCH_MAT">[17]ใบสรุปราคา!$M$17</definedName>
    <definedName name="archi" localSheetId="1">#REF!</definedName>
    <definedName name="archi">#REF!</definedName>
    <definedName name="architecture" hidden="1">{#N/A,#N/A,TRUE,"SUM";#N/A,#N/A,TRUE,"EE";#N/A,#N/A,TRUE,"AC";#N/A,#N/A,TRUE,"SN"}</definedName>
    <definedName name="aSDASD" localSheetId="1">#REF!</definedName>
    <definedName name="aSDASD">#REF!</definedName>
    <definedName name="asdasdsa" localSheetId="1">#REF!</definedName>
    <definedName name="asdasdsa">#REF!</definedName>
    <definedName name="ASDASDSADSA" localSheetId="1">#REF!</definedName>
    <definedName name="ASDASDSADSA">#REF!</definedName>
    <definedName name="asdsada" localSheetId="1">#REF!</definedName>
    <definedName name="asdsada">#REF!</definedName>
    <definedName name="ass" hidden="1">{"revable",#N/A,FALSE,"REVABLE"}</definedName>
    <definedName name="b">'[18]SH-B'!$C$1:$G$482</definedName>
    <definedName name="B1." localSheetId="1">#REF!</definedName>
    <definedName name="B1.">#REF!</definedName>
    <definedName name="B1_" localSheetId="1">#REF!</definedName>
    <definedName name="B1_">#REF!</definedName>
    <definedName name="B1A">'[14]แบบ B'!$E$73</definedName>
    <definedName name="B1B">'[14]แบบ B'!$H$73</definedName>
    <definedName name="B1C">'[14]แบบ B'!$K$73</definedName>
    <definedName name="B2A">'[14]แบบ B'!$E$110</definedName>
    <definedName name="B2B">'[14]แบบ B'!$H$110</definedName>
    <definedName name="B2C">'[14]แบบ B'!$K$110</definedName>
    <definedName name="B3A">'[14]แบบ B'!$E$147</definedName>
    <definedName name="B3B">'[14]แบบ B'!$H$147</definedName>
    <definedName name="B3C">'[14]แบบ B'!$K$147</definedName>
    <definedName name="B4A">'[14]แบบ B'!$E$184</definedName>
    <definedName name="B4B">'[14]แบบ B'!$H$184</definedName>
    <definedName name="B4C">'[14]แบบ B'!$K$184</definedName>
    <definedName name="B5A">'[14]แบบ B'!$E$221</definedName>
    <definedName name="B5B">'[14]แบบ B'!$H$221</definedName>
    <definedName name="B5C">'[14]แบบ B'!$K$221</definedName>
    <definedName name="B6A">'[14]แบบ B'!$E$258</definedName>
    <definedName name="B6B">'[14]แบบ B'!$H$258</definedName>
    <definedName name="B6C">'[14]แบบ B'!$K$258</definedName>
    <definedName name="BAA">'[14]แบบ B'!$E$36</definedName>
    <definedName name="BAB">'[14]แบบ B'!$H$36</definedName>
    <definedName name="BAC">'[14]แบบ B'!$K$36</definedName>
    <definedName name="BB" hidden="1">{#N/A,#N/A,TRUE,"Str.";#N/A,#N/A,TRUE,"Steel &amp; Roof";#N/A,#N/A,TRUE,"Arc.";#N/A,#N/A,TRUE,"Preliminary";#N/A,#N/A,TRUE,"Sum_Prelim"}</definedName>
    <definedName name="bbtwreyby" hidden="1">{#N/A,#N/A,TRUE,"SUM";#N/A,#N/A,TRUE,"EE";#N/A,#N/A,TRUE,"AC";#N/A,#N/A,TRUE,"SN"}</definedName>
    <definedName name="be" hidden="1">{#N/A,#N/A,TRUE,"Str.";#N/A,#N/A,TRUE,"Steel &amp; Roof";#N/A,#N/A,TRUE,"Arc.";#N/A,#N/A,TRUE,"Preliminary";#N/A,#N/A,TRUE,"Sum_Prelim"}</definedName>
    <definedName name="Beg_Bal" localSheetId="1">#REF!</definedName>
    <definedName name="Beg_Bal">#REF!</definedName>
    <definedName name="BEGIN" localSheetId="1">#REF!</definedName>
    <definedName name="BEGIN">#REF!</definedName>
    <definedName name="BHS" localSheetId="1" hidden="1">[19]산근!#REF!</definedName>
    <definedName name="BHS" hidden="1">[19]산근!#REF!</definedName>
    <definedName name="BIGC" localSheetId="0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jyr" hidden="1">{#N/A,#N/A,TRUE,"SUM";#N/A,#N/A,TRUE,"EE";#N/A,#N/A,TRUE,"AC";#N/A,#N/A,TRUE,"SN"}</definedName>
    <definedName name="Black_C">'[20]Main Summary'!$F$3</definedName>
    <definedName name="BOQ" localSheetId="1">#REF!</definedName>
    <definedName name="BOQ">#REF!</definedName>
    <definedName name="BOQS" localSheetId="1">#REF!</definedName>
    <definedName name="BOQS">#REF!</definedName>
    <definedName name="BOQsum" localSheetId="1">#REF!</definedName>
    <definedName name="BOQsum">#REF!</definedName>
    <definedName name="boy" localSheetId="1">#REF!</definedName>
    <definedName name="boy">#REF!</definedName>
    <definedName name="BS" hidden="1">{#N/A,#N/A,TRUE,"SUM";#N/A,#N/A,TRUE,"EE";#N/A,#N/A,TRUE,"AC";#N/A,#N/A,TRUE,"SN"}</definedName>
    <definedName name="BudgetSum" localSheetId="1">#REF!</definedName>
    <definedName name="BudgetSum">#REF!</definedName>
    <definedName name="BuiltIn_AutoFilter___1" localSheetId="1">#REF!</definedName>
    <definedName name="BuiltIn_AutoFilter___1">#REF!</definedName>
    <definedName name="BuiltIn_AutoFilter___6" localSheetId="1">#REF!</definedName>
    <definedName name="BuiltIn_AutoFilter___6">#REF!</definedName>
    <definedName name="Button_1">"MAT_PRICE_Sheet1_List"</definedName>
    <definedName name="bvwb" localSheetId="1" hidden="1">[11]PL!#REF!</definedName>
    <definedName name="bvwb" hidden="1">[11]PL!#REF!</definedName>
    <definedName name="byjmhg" hidden="1">{#N/A,#N/A,TRUE,"SUM";#N/A,#N/A,TRUE,"EE";#N/A,#N/A,TRUE,"AC";#N/A,#N/A,TRUE,"SN"}</definedName>
    <definedName name="CA" hidden="1">{#N/A,#N/A,TRUE,"SUM";#N/A,#N/A,TRUE,"EE";#N/A,#N/A,TRUE,"AC";#N/A,#N/A,TRUE,"SN"}</definedName>
    <definedName name="cc">NA()</definedName>
    <definedName name="cc___0">NA()</definedName>
    <definedName name="cc___10">NA()</definedName>
    <definedName name="cc___3">NA()</definedName>
    <definedName name="cc___4">NA()</definedName>
    <definedName name="cc___5">NA()</definedName>
    <definedName name="cc___6">NA()</definedName>
    <definedName name="cc___7">NA()</definedName>
    <definedName name="cc___8">NA()</definedName>
    <definedName name="cc___9">NA()</definedName>
    <definedName name="CC1A">'[14]แบบ C'!$E$34</definedName>
    <definedName name="CC1B">'[14]แบบ C'!$H$34</definedName>
    <definedName name="CC1C">'[14]แบบ C'!$K$34</definedName>
    <definedName name="CC2A">'[14]แบบ C'!$E$69</definedName>
    <definedName name="CC2B">'[14]แบบ C'!$H$69</definedName>
    <definedName name="CC2C">'[14]แบบ C'!$K$69</definedName>
    <definedName name="CC3A">'[14]แบบ C'!$E$104</definedName>
    <definedName name="CC3B">'[14]แบบ C'!$H$104</definedName>
    <definedName name="CC3C">'[14]แบบ C'!$K$104</definedName>
    <definedName name="CC4A">'[14]แบบ C'!$E$139</definedName>
    <definedName name="CC4B">'[14]แบบ C'!$H$139</definedName>
    <definedName name="CC4C">'[14]แบบ C'!$K$139</definedName>
    <definedName name="CC5A">'[14]แบบ C'!$E$174</definedName>
    <definedName name="CC5B">'[14]แบบ C'!$H$174</definedName>
    <definedName name="CC5C">'[14]แบบ C'!$K$174</definedName>
    <definedName name="CC6A">'[14]แบบ C'!$E$209</definedName>
    <definedName name="CC6B">'[14]แบบ C'!$H$209</definedName>
    <definedName name="CC6C">'[14]แบบ C'!$K$209</definedName>
    <definedName name="CC6D" localSheetId="1">'[21]Pile_Bu_12-01-48'!#REF!</definedName>
    <definedName name="CC6D">'[21]Pile_Bu_12-01-48'!#REF!</definedName>
    <definedName name="ccc" hidden="1">{"PRINT_EST",#N/A,FALSE,"ESTMON"}</definedName>
    <definedName name="cccc" hidden="1">{#N/A,#N/A,TRUE,"SUM";#N/A,#N/A,TRUE,"EE";#N/A,#N/A,TRUE,"AC";#N/A,#N/A,TRUE,"SN"}</definedName>
    <definedName name="ccccc">NA()</definedName>
    <definedName name="ccccc___0">NA()</definedName>
    <definedName name="ccccc___10">NA()</definedName>
    <definedName name="ccccc___3">NA()</definedName>
    <definedName name="ccccc___4">NA()</definedName>
    <definedName name="ccccc___5">NA()</definedName>
    <definedName name="ccccc___6">NA()</definedName>
    <definedName name="ccccc___7">NA()</definedName>
    <definedName name="ccccc___8">NA()</definedName>
    <definedName name="ccccc___9">NA()</definedName>
    <definedName name="CCTV" localSheetId="1">[22]boq!#REF!</definedName>
    <definedName name="CCTV">[22]boq!#REF!</definedName>
    <definedName name="CEILING" localSheetId="1">#REF!</definedName>
    <definedName name="CEILING">#REF!</definedName>
    <definedName name="CH" localSheetId="1">#REF!</definedName>
    <definedName name="CH">#REF!</definedName>
    <definedName name="CJ" localSheetId="1">#REF!</definedName>
    <definedName name="CJ">#REF!</definedName>
    <definedName name="CL" localSheetId="1">#REF!</definedName>
    <definedName name="CL">#REF!</definedName>
    <definedName name="CN" localSheetId="1">#REF!</definedName>
    <definedName name="CN">#REF!</definedName>
    <definedName name="CODE" localSheetId="1">#REF!</definedName>
    <definedName name="CODE">#REF!</definedName>
    <definedName name="CONPC2I18">[23]UNIT!$C$29</definedName>
    <definedName name="CONPC2I22">[23]UNIT!$C$34</definedName>
    <definedName name="CONPC3I18">[23]UNIT!$C$30</definedName>
    <definedName name="CONPC3I22">[23]UNIT!$C$35</definedName>
    <definedName name="CONPC4I18">[23]UNIT!$C$31</definedName>
    <definedName name="CONPC4I22">[23]UNIT!$C$36</definedName>
    <definedName name="CONPC5I18">[23]UNIT!$C$32</definedName>
    <definedName name="CONPC5I22">[23]UNIT!$C$37</definedName>
    <definedName name="CONPC6I22">[23]UNIT!$C$38</definedName>
    <definedName name="CONPCI18">[23]UNIT!$C$28</definedName>
    <definedName name="CONPCI22">[23]UNIT!$C$33</definedName>
    <definedName name="cont">'[24]cov-estimate'!$B$1:$H$46</definedName>
    <definedName name="cost_lab" localSheetId="1">#REF!</definedName>
    <definedName name="cost_lab">#REF!</definedName>
    <definedName name="cost_lab___0" localSheetId="1">#REF!</definedName>
    <definedName name="cost_lab___0">#REF!</definedName>
    <definedName name="cost_mat" localSheetId="1">#REF!</definedName>
    <definedName name="cost_mat">#REF!</definedName>
    <definedName name="cost_mat___0" localSheetId="1">#REF!</definedName>
    <definedName name="cost_mat___0">#REF!</definedName>
    <definedName name="cost1" localSheetId="1">#REF!</definedName>
    <definedName name="cost1">#REF!</definedName>
    <definedName name="cost10" localSheetId="1">#REF!</definedName>
    <definedName name="cost10">#REF!</definedName>
    <definedName name="cost11" localSheetId="1">#REF!</definedName>
    <definedName name="cost11">#REF!</definedName>
    <definedName name="cost12" localSheetId="1">#REF!</definedName>
    <definedName name="cost12">#REF!</definedName>
    <definedName name="cost13" localSheetId="1">#REF!</definedName>
    <definedName name="cost13">#REF!</definedName>
    <definedName name="cost2" localSheetId="1">#REF!</definedName>
    <definedName name="cost2">#REF!</definedName>
    <definedName name="cost3" localSheetId="1">#REF!</definedName>
    <definedName name="cost3">#REF!</definedName>
    <definedName name="cost4" localSheetId="1">#REF!</definedName>
    <definedName name="cost4">#REF!</definedName>
    <definedName name="cost5" localSheetId="1">#REF!</definedName>
    <definedName name="cost5">#REF!</definedName>
    <definedName name="cost6" localSheetId="1">#REF!</definedName>
    <definedName name="cost6">#REF!</definedName>
    <definedName name="cost7" localSheetId="1">#REF!</definedName>
    <definedName name="cost7">#REF!</definedName>
    <definedName name="cost8" localSheetId="1">#REF!</definedName>
    <definedName name="cost8">#REF!</definedName>
    <definedName name="cost9" localSheetId="1">#REF!</definedName>
    <definedName name="cost9">#REF!</definedName>
    <definedName name="cs" hidden="1">{#N/A,#N/A,TRUE,"SUM";#N/A,#N/A,TRUE,"EE";#N/A,#N/A,TRUE,"AC";#N/A,#N/A,TRUE,"SN"}</definedName>
    <definedName name="CSODJWO" hidden="1">{#N/A,#N/A,TRUE,"SUM";#N/A,#N/A,TRUE,"EE";#N/A,#N/A,TRUE,"AC";#N/A,#N/A,TRUE,"SN"}</definedName>
    <definedName name="CW" localSheetId="1">#REF!</definedName>
    <definedName name="CW">#REF!</definedName>
    <definedName name="CY" localSheetId="1">#REF!</definedName>
    <definedName name="CY">#REF!</definedName>
    <definedName name="CZsa" hidden="1">{#N/A,#N/A,TRUE,"Str.";#N/A,#N/A,TRUE,"Steel &amp; Roof";#N/A,#N/A,TRUE,"Arc.";#N/A,#N/A,TRUE,"Preliminary";#N/A,#N/A,TRUE,"Sum_Prelim"}</definedName>
    <definedName name="d">'[18]SH-D'!$C$1:$G$531</definedName>
    <definedName name="d_w" localSheetId="1">#REF!</definedName>
    <definedName name="d_w">#REF!</definedName>
    <definedName name="D1A">'[14]แบบ D'!$E$35</definedName>
    <definedName name="D1B">'[14]แบบ D'!$H$35</definedName>
    <definedName name="D1C">'[14]แบบ D'!$K$35</definedName>
    <definedName name="D2A">'[14]แบบ D'!$E$72</definedName>
    <definedName name="D2B">'[14]แบบ D'!$H$72</definedName>
    <definedName name="D2C">'[14]แบบ D'!$K$72</definedName>
    <definedName name="D2D" localSheetId="1">'[21]Pile_Bu_12-01-48'!#REF!</definedName>
    <definedName name="D2D">'[21]Pile_Bu_12-01-48'!#REF!</definedName>
    <definedName name="D64Z_G">'[25]MIROR_H9(TR1)'!$AB$9</definedName>
    <definedName name="D64Z_T1">'[25]MIROR_H9(TR1)'!$Z$9</definedName>
    <definedName name="D64Z_T2">'[25]MIROR_H9(TR1)'!$AA$9</definedName>
    <definedName name="D64Z_W">'[25]MIROR_H9(TR1)'!$Y$9</definedName>
    <definedName name="DA" localSheetId="1">#REF!</definedName>
    <definedName name="DA">#REF!</definedName>
    <definedName name="DATA" localSheetId="1">#REF!</definedName>
    <definedName name="DATA">#REF!</definedName>
    <definedName name="data10" localSheetId="1">#REF!</definedName>
    <definedName name="data10">#REF!</definedName>
    <definedName name="data2">[26]ค่าวัสดุ!$C$1:$F$65536</definedName>
    <definedName name="data4" localSheetId="1">#REF!</definedName>
    <definedName name="data4">#REF!</definedName>
    <definedName name="data84">'[27]Purchase Order'!$E$40</definedName>
    <definedName name="ddd" hidden="1">{#N/A,#N/A,TRUE,"Str.";#N/A,#N/A,TRUE,"Steel &amp; Roof";#N/A,#N/A,TRUE,"Arc.";#N/A,#N/A,TRUE,"Preliminary";#N/A,#N/A,TRUE,"Sum_Prelim"}</definedName>
    <definedName name="dddddd" hidden="1">{#N/A,#N/A,TRUE,"SUM";#N/A,#N/A,TRUE,"EE";#N/A,#N/A,TRUE,"AC";#N/A,#N/A,TRUE,"SN"}</definedName>
    <definedName name="DDDDDDDD" hidden="1">{#N/A,#N/A,TRUE,"SUM";#N/A,#N/A,TRUE,"EE";#N/A,#N/A,TRUE,"AC";#N/A,#N/A,TRUE,"SN"}</definedName>
    <definedName name="DEWSLDW" hidden="1">{#N/A,#N/A,TRUE,"SUM";#N/A,#N/A,TRUE,"EE";#N/A,#N/A,TRUE,"AC";#N/A,#N/A,TRUE,"SN"}</definedName>
    <definedName name="DF74A_G" localSheetId="1">#REF!</definedName>
    <definedName name="DF74A_G">#REF!</definedName>
    <definedName name="DF74A_T1" localSheetId="1">#REF!</definedName>
    <definedName name="DF74A_T1">#REF!</definedName>
    <definedName name="DF74A_T2" localSheetId="1">#REF!</definedName>
    <definedName name="DF74A_T2">#REF!</definedName>
    <definedName name="DF74A_W" localSheetId="1">#REF!</definedName>
    <definedName name="DF74A_W">#REF!</definedName>
    <definedName name="DFDFDS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hidden="1">{#N/A,#N/A,TRUE,"SUM";#N/A,#N/A,TRUE,"EE";#N/A,#N/A,TRUE,"AC";#N/A,#N/A,TRUE,"SN"}</definedName>
    <definedName name="dfgavs" localSheetId="1" hidden="1">[4]tifico!#REF!</definedName>
    <definedName name="dfgavs" hidden="1">[4]tifico!#REF!</definedName>
    <definedName name="dfgj" hidden="1">{#N/A,#N/A,TRUE,"Str.";#N/A,#N/A,TRUE,"Steel &amp; Roof";#N/A,#N/A,TRUE,"Arc.";#N/A,#N/A,TRUE,"Preliminary";#N/A,#N/A,TRUE,"Sum_Prelim"}</definedName>
    <definedName name="dfhjjjjjjjjj" localSheetId="1">#REF!</definedName>
    <definedName name="dfhjjjjjjjjj">#REF!</definedName>
    <definedName name="dfhjkfk" localSheetId="1" hidden="1">#REF!</definedName>
    <definedName name="dfhjkfk" hidden="1">#REF!</definedName>
    <definedName name="dflt2">'[27]Customize Your Purchase Order'!$F$23</definedName>
    <definedName name="dflt3">'[27]Customize Your Purchase Order'!$F$24</definedName>
    <definedName name="dflt4">'[27]Customize Your Purchase Order'!$E$25</definedName>
    <definedName name="dflt5">'[27]Customize Your Purchase Order'!$F$27</definedName>
    <definedName name="dflt6">'[27]Customize Your Purchase Order'!$F$28</definedName>
    <definedName name="dflt7" localSheetId="1">[28]Invoice!#REF!</definedName>
    <definedName name="dflt7">[28]Invoice!#REF!</definedName>
    <definedName name="dfs" hidden="1">{#N/A,#N/A,TRUE,"SUM";#N/A,#N/A,TRUE,"EE";#N/A,#N/A,TRUE,"AC";#N/A,#N/A,TRUE,"SN"}</definedName>
    <definedName name="dgs" localSheetId="1" hidden="1">#REF!</definedName>
    <definedName name="dgs" hidden="1">#REF!</definedName>
    <definedName name="dsfgsdfsedfsafsafsasadsa" localSheetId="1">#REF!</definedName>
    <definedName name="dsfgsdfsedfsafsafsasadsa">#REF!</definedName>
    <definedName name="DSJKLDE" hidden="1">{#N/A,#N/A,TRUE,"SUM";#N/A,#N/A,TRUE,"EE";#N/A,#N/A,TRUE,"AC";#N/A,#N/A,TRUE,"SN"}</definedName>
    <definedName name="dsytr" localSheetId="1" hidden="1">#REF!</definedName>
    <definedName name="dsytr" hidden="1">#REF!</definedName>
    <definedName name="duc" hidden="1">{#N/A,#N/A,TRUE,"Str.";#N/A,#N/A,TRUE,"Steel &amp; Roof";#N/A,#N/A,TRUE,"Arc.";#N/A,#N/A,TRUE,"Preliminary";#N/A,#N/A,TRUE,"Sum_Prelim"}</definedName>
    <definedName name="dv" hidden="1">{#N/A,#N/A,TRUE,"SUM";#N/A,#N/A,TRUE,"EE";#N/A,#N/A,TRUE,"AC";#N/A,#N/A,TRUE,"SN"}</definedName>
    <definedName name="dvt" hidden="1">{#N/A,#N/A,TRUE,"SUM";#N/A,#N/A,TRUE,"EE";#N/A,#N/A,TRUE,"AC";#N/A,#N/A,TRUE,"SN"}</definedName>
    <definedName name="DW" localSheetId="1">#REF!</definedName>
    <definedName name="DW">#REF!</definedName>
    <definedName name="e" localSheetId="1">#REF!</definedName>
    <definedName name="e">#REF!</definedName>
    <definedName name="e___0" localSheetId="1">#REF!</definedName>
    <definedName name="e___0">#REF!</definedName>
    <definedName name="E_CONV_L" localSheetId="1">[12]สรุป_EMC!#REF!</definedName>
    <definedName name="E_CONV_L">[12]สรุป_EMC!#REF!</definedName>
    <definedName name="E_CONV_M" localSheetId="1">[12]สรุป_EMC!#REF!</definedName>
    <definedName name="E_CONV_M">[12]สรุป_EMC!#REF!</definedName>
    <definedName name="E_RUNG_L" localSheetId="1">#REF!</definedName>
    <definedName name="E_RUNG_L">#REF!</definedName>
    <definedName name="E_RUNG_M" localSheetId="1">#REF!</definedName>
    <definedName name="E_RUNG_M">#REF!</definedName>
    <definedName name="E_RUNG_Q" localSheetId="1">#REF!</definedName>
    <definedName name="E_RUNG_Q">#REF!</definedName>
    <definedName name="E3A">'[14]แบบ E'!$E$34</definedName>
    <definedName name="E3B">'[14]แบบ E'!$H$34</definedName>
    <definedName name="E3C">'[14]แบบ E'!$K$34</definedName>
    <definedName name="ee" localSheetId="1">#REF!</definedName>
    <definedName name="ee">#REF!</definedName>
    <definedName name="ee_ad">1</definedName>
    <definedName name="ee_av">1</definedName>
    <definedName name="eec" localSheetId="1">#REF!</definedName>
    <definedName name="eec">#REF!</definedName>
    <definedName name="eec___0" localSheetId="1">#REF!</definedName>
    <definedName name="eec___0">#REF!</definedName>
    <definedName name="eeee" hidden="1">{"revsale",#N/A,FALSE,"REV-ยุพดี"}</definedName>
    <definedName name="eeee1" hidden="1">{"revsale",#N/A,FALSE,"REV-ยุพดี"}</definedName>
    <definedName name="eeeee" hidden="1">{#N/A,#N/A,TRUE,"SUM";#N/A,#N/A,TRUE,"EE";#N/A,#N/A,TRUE,"AC";#N/A,#N/A,TRUE,"SN"}</definedName>
    <definedName name="ELEMENT__Sanitary_System" localSheetId="1">#REF!</definedName>
    <definedName name="ELEMENT__Sanitary_System">#REF!</definedName>
    <definedName name="ELEMENT__Sanitary_System___0" localSheetId="1">#REF!</definedName>
    <definedName name="ELEMENT__Sanitary_System___0">#REF!</definedName>
    <definedName name="elx" localSheetId="1">#REF!</definedName>
    <definedName name="elx">#REF!</definedName>
    <definedName name="emo" hidden="1">{#N/A,#N/A,TRUE,"SUM";#N/A,#N/A,TRUE,"EE";#N/A,#N/A,TRUE,"AC";#N/A,#N/A,TRUE,"SN"}</definedName>
    <definedName name="End_Bal" localSheetId="1">#REF!</definedName>
    <definedName name="End_Bal">#REF!</definedName>
    <definedName name="ere" hidden="1">{#N/A,#N/A,TRUE,"SUM";#N/A,#N/A,TRUE,"EE";#N/A,#N/A,TRUE,"AC";#N/A,#N/A,TRUE,"SN"}</definedName>
    <definedName name="ertb" hidden="1">{#N/A,#N/A,TRUE,"Str.";#N/A,#N/A,TRUE,"Steel &amp; Roof";#N/A,#N/A,TRUE,"Arc.";#N/A,#N/A,TRUE,"Preliminary";#N/A,#N/A,TRUE,"Sum_Prelim"}</definedName>
    <definedName name="ertysey" localSheetId="1" hidden="1">#REF!</definedName>
    <definedName name="ertysey" hidden="1">#REF!</definedName>
    <definedName name="ewstgewsrwer" localSheetId="1">#REF!</definedName>
    <definedName name="ewstgewsrwer">#REF!</definedName>
    <definedName name="Excel_BuiltIn__FilterDatabase_1" localSheetId="1">#REF!</definedName>
    <definedName name="Excel_BuiltIn__FilterDatabase_1">#REF!</definedName>
    <definedName name="Excel_BuiltIn_Print_Area" localSheetId="1">#REF!</definedName>
    <definedName name="Excel_BuiltIn_Print_Area">#REF!</definedName>
    <definedName name="Excel_BuiltIn_Print_Area_0" localSheetId="1">#REF!</definedName>
    <definedName name="Excel_BuiltIn_Print_Area_0">#REF!</definedName>
    <definedName name="Excel_BuiltIn_Print_Area_1_1" localSheetId="1">#REF!</definedName>
    <definedName name="Excel_BuiltIn_Print_Area_1_1">#REF!</definedName>
    <definedName name="Excel_BuiltIn_Print_Area_1_1_1" localSheetId="1">#REF!</definedName>
    <definedName name="Excel_BuiltIn_Print_Area_1_1_1">#REF!</definedName>
    <definedName name="Excel_BuiltIn_Print_Area_1_1_1_1" localSheetId="1">#REF!</definedName>
    <definedName name="Excel_BuiltIn_Print_Area_1_1_1_1">#REF!</definedName>
    <definedName name="Excel_BuiltIn_Print_Area_1_1_1_1_1" localSheetId="1">#REF!</definedName>
    <definedName name="Excel_BuiltIn_Print_Area_1_1_1_1_1">#REF!</definedName>
    <definedName name="Excel_BuiltIn_Print_Area_1_1_1_1_1_1" localSheetId="1">#REF!</definedName>
    <definedName name="Excel_BuiltIn_Print_Area_1_1_1_1_1_1">#REF!</definedName>
    <definedName name="Excel_BuiltIn_Print_Area_1_1_1_1_1_1_1" localSheetId="1">#REF!</definedName>
    <definedName name="Excel_BuiltIn_Print_Area_1_1_1_1_1_1_1">#REF!</definedName>
    <definedName name="Excel_BuiltIn_Print_Area_1_1_1_1_1_1_1_1" localSheetId="1">#REF!</definedName>
    <definedName name="Excel_BuiltIn_Print_Area_1_1_1_1_1_1_1_1">#REF!</definedName>
    <definedName name="Excel_BuiltIn_Print_Area_1_1_1_1_1_1_1_1_1" localSheetId="1">#REF!</definedName>
    <definedName name="Excel_BuiltIn_Print_Area_1_1_1_1_1_1_1_1_1">#REF!</definedName>
    <definedName name="Excel_BuiltIn_Print_Area_1_1_1_1_1_1_1_1_1_1" localSheetId="1">#REF!</definedName>
    <definedName name="Excel_BuiltIn_Print_Area_1_1_1_1_1_1_1_1_1_1">#REF!</definedName>
    <definedName name="Excel_BuiltIn_Print_Area_1_1_1_1_1_1_1_1_1_1_1" localSheetId="1">#REF!</definedName>
    <definedName name="Excel_BuiltIn_Print_Area_1_1_1_1_1_1_1_1_1_1_1">#REF!</definedName>
    <definedName name="Excel_BuiltIn_Print_Area_10" localSheetId="1">#REF!</definedName>
    <definedName name="Excel_BuiltIn_Print_Area_10">#REF!</definedName>
    <definedName name="Excel_BuiltIn_Print_Area_10_1" localSheetId="1">#REF!</definedName>
    <definedName name="Excel_BuiltIn_Print_Area_10_1">#REF!</definedName>
    <definedName name="Excel_BuiltIn_Print_Area_10_1_1" localSheetId="1">#REF!</definedName>
    <definedName name="Excel_BuiltIn_Print_Area_10_1_1">#REF!</definedName>
    <definedName name="Excel_BuiltIn_Print_Area_10_1_1_1" localSheetId="1">#REF!</definedName>
    <definedName name="Excel_BuiltIn_Print_Area_10_1_1_1">#REF!</definedName>
    <definedName name="Excel_BuiltIn_Print_Area_10_1_1_1_1" localSheetId="1">#REF!</definedName>
    <definedName name="Excel_BuiltIn_Print_Area_10_1_1_1_1">#REF!</definedName>
    <definedName name="Excel_BuiltIn_Print_Area_10_1_1_1_1_1" localSheetId="1">#REF!</definedName>
    <definedName name="Excel_BuiltIn_Print_Area_10_1_1_1_1_1">#REF!</definedName>
    <definedName name="Excel_BuiltIn_Print_Area_10_1_1_1_1_1_1" localSheetId="1">#REF!</definedName>
    <definedName name="Excel_BuiltIn_Print_Area_10_1_1_1_1_1_1">#REF!</definedName>
    <definedName name="Excel_BuiltIn_Print_Area_10_1_1_1_1_1_1_1" localSheetId="1">#REF!</definedName>
    <definedName name="Excel_BuiltIn_Print_Area_10_1_1_1_1_1_1_1">#REF!</definedName>
    <definedName name="Excel_BuiltIn_Print_Area_10_1_1_1_1_1_1_1_1" localSheetId="1">#REF!</definedName>
    <definedName name="Excel_BuiltIn_Print_Area_10_1_1_1_1_1_1_1_1">#REF!</definedName>
    <definedName name="Excel_BuiltIn_Print_Area_10_1_1_1_1_1_1_1_1_1" localSheetId="1">#REF!</definedName>
    <definedName name="Excel_BuiltIn_Print_Area_10_1_1_1_1_1_1_1_1_1">#REF!</definedName>
    <definedName name="Excel_BuiltIn_Print_Area_10_1_1_1_1_1_1_1_1_1_1" localSheetId="1">#REF!</definedName>
    <definedName name="Excel_BuiltIn_Print_Area_10_1_1_1_1_1_1_1_1_1_1">#REF!</definedName>
    <definedName name="Excel_BuiltIn_Print_Area_11" localSheetId="1">#REF!</definedName>
    <definedName name="Excel_BuiltIn_Print_Area_11">#REF!</definedName>
    <definedName name="Excel_BuiltIn_Print_Area_11_1" localSheetId="1">#REF!</definedName>
    <definedName name="Excel_BuiltIn_Print_Area_11_1">#REF!</definedName>
    <definedName name="Excel_BuiltIn_Print_Area_11_1_1" localSheetId="1">#REF!</definedName>
    <definedName name="Excel_BuiltIn_Print_Area_11_1_1">#REF!</definedName>
    <definedName name="Excel_BuiltIn_Print_Area_11_1_1_1" localSheetId="1">#REF!</definedName>
    <definedName name="Excel_BuiltIn_Print_Area_11_1_1_1">#REF!</definedName>
    <definedName name="Excel_BuiltIn_Print_Area_11_1_1_1_1" localSheetId="1">#REF!</definedName>
    <definedName name="Excel_BuiltIn_Print_Area_11_1_1_1_1">#REF!</definedName>
    <definedName name="Excel_BuiltIn_Print_Area_11_1_1_1_1_1" localSheetId="1">#REF!</definedName>
    <definedName name="Excel_BuiltIn_Print_Area_11_1_1_1_1_1">#REF!</definedName>
    <definedName name="Excel_BuiltIn_Print_Area_11_1_1_1_1_1_1" localSheetId="1">#REF!</definedName>
    <definedName name="Excel_BuiltIn_Print_Area_11_1_1_1_1_1_1">#REF!</definedName>
    <definedName name="Excel_BuiltIn_Print_Area_11_1_1_1_1_1_1_1" localSheetId="1">#REF!</definedName>
    <definedName name="Excel_BuiltIn_Print_Area_11_1_1_1_1_1_1_1">#REF!</definedName>
    <definedName name="Excel_BuiltIn_Print_Area_11_1_1_1_1_1_1_1_1" localSheetId="1">#REF!</definedName>
    <definedName name="Excel_BuiltIn_Print_Area_11_1_1_1_1_1_1_1_1">#REF!</definedName>
    <definedName name="Excel_BuiltIn_Print_Area_12_1" localSheetId="1">#REF!</definedName>
    <definedName name="Excel_BuiltIn_Print_Area_12_1">#REF!</definedName>
    <definedName name="Excel_BuiltIn_Print_Area_12_1_1" localSheetId="1">#REF!</definedName>
    <definedName name="Excel_BuiltIn_Print_Area_12_1_1">#REF!</definedName>
    <definedName name="Excel_BuiltIn_Print_Area_13_1" localSheetId="1">#REF!</definedName>
    <definedName name="Excel_BuiltIn_Print_Area_13_1">#REF!</definedName>
    <definedName name="Excel_BuiltIn_Print_Area_14" localSheetId="1">#REF!</definedName>
    <definedName name="Excel_BuiltIn_Print_Area_14">#REF!</definedName>
    <definedName name="Excel_BuiltIn_Print_Area_14_1" localSheetId="1">#REF!</definedName>
    <definedName name="Excel_BuiltIn_Print_Area_14_1">#REF!</definedName>
    <definedName name="Excel_BuiltIn_Print_Area_14_1_1" localSheetId="1">#REF!</definedName>
    <definedName name="Excel_BuiltIn_Print_Area_14_1_1">#REF!</definedName>
    <definedName name="Excel_BuiltIn_Print_Area_15" localSheetId="1">#REF!</definedName>
    <definedName name="Excel_BuiltIn_Print_Area_15">#REF!</definedName>
    <definedName name="Excel_BuiltIn_Print_Area_15_1" localSheetId="1">#REF!</definedName>
    <definedName name="Excel_BuiltIn_Print_Area_15_1">#REF!</definedName>
    <definedName name="Excel_BuiltIn_Print_Area_16" localSheetId="1">#REF!</definedName>
    <definedName name="Excel_BuiltIn_Print_Area_16">#REF!</definedName>
    <definedName name="Excel_BuiltIn_Print_Area_17" localSheetId="1">#REF!</definedName>
    <definedName name="Excel_BuiltIn_Print_Area_17">#REF!</definedName>
    <definedName name="Excel_BuiltIn_Print_Area_18" localSheetId="1">#REF!</definedName>
    <definedName name="Excel_BuiltIn_Print_Area_18">#REF!</definedName>
    <definedName name="Excel_BuiltIn_Print_Area_2" localSheetId="1">#REF!</definedName>
    <definedName name="Excel_BuiltIn_Print_Area_2">#REF!</definedName>
    <definedName name="Excel_BuiltIn_Print_Area_2___0" localSheetId="1">#REF!</definedName>
    <definedName name="Excel_BuiltIn_Print_Area_2___0">#REF!</definedName>
    <definedName name="Excel_BuiltIn_Print_Area_2_1" localSheetId="1">#REF!</definedName>
    <definedName name="Excel_BuiltIn_Print_Area_2_1">#REF!</definedName>
    <definedName name="Excel_BuiltIn_Print_Area_2_1_1" localSheetId="1">#REF!</definedName>
    <definedName name="Excel_BuiltIn_Print_Area_2_1_1">#REF!</definedName>
    <definedName name="Excel_BuiltIn_Print_Area_3_1" localSheetId="1">#REF!</definedName>
    <definedName name="Excel_BuiltIn_Print_Area_3_1">#REF!</definedName>
    <definedName name="Excel_BuiltIn_Print_Area_3_1_1" localSheetId="1">#REF!</definedName>
    <definedName name="Excel_BuiltIn_Print_Area_3_1_1">#REF!</definedName>
    <definedName name="Excel_BuiltIn_Print_Area_3_1_1_1" localSheetId="1">#REF!</definedName>
    <definedName name="Excel_BuiltIn_Print_Area_3_1_1_1">#REF!</definedName>
    <definedName name="Excel_BuiltIn_Print_Area_3_1_1_1_1" localSheetId="1">#REF!</definedName>
    <definedName name="Excel_BuiltIn_Print_Area_3_1_1_1_1">#REF!</definedName>
    <definedName name="Excel_BuiltIn_Print_Area_3_1_1_1_1_1" localSheetId="1">#REF!</definedName>
    <definedName name="Excel_BuiltIn_Print_Area_3_1_1_1_1_1">#REF!</definedName>
    <definedName name="Excel_BuiltIn_Print_Area_3_1_1_1_1_1_1" localSheetId="1">#REF!</definedName>
    <definedName name="Excel_BuiltIn_Print_Area_3_1_1_1_1_1_1">#REF!</definedName>
    <definedName name="Excel_BuiltIn_Print_Area_3_1_1_1_1_1_1_1" localSheetId="1">#REF!</definedName>
    <definedName name="Excel_BuiltIn_Print_Area_3_1_1_1_1_1_1_1">#REF!</definedName>
    <definedName name="Excel_BuiltIn_Print_Area_3_1_1_1_1_1_1_1_1" localSheetId="1">#REF!</definedName>
    <definedName name="Excel_BuiltIn_Print_Area_3_1_1_1_1_1_1_1_1">#REF!</definedName>
    <definedName name="Excel_BuiltIn_Print_Area_3_1_1_1_1_1_1_1_1_1" localSheetId="1">#REF!</definedName>
    <definedName name="Excel_BuiltIn_Print_Area_3_1_1_1_1_1_1_1_1_1">#REF!</definedName>
    <definedName name="Excel_BuiltIn_Print_Area_3_1_1_1_1_1_1_1_1_1_1" localSheetId="1">#REF!</definedName>
    <definedName name="Excel_BuiltIn_Print_Area_3_1_1_1_1_1_1_1_1_1_1">#REF!</definedName>
    <definedName name="Excel_BuiltIn_Print_Area_3_1_1_1_1_1_1_1_1_1_1_1" localSheetId="1">#REF!</definedName>
    <definedName name="Excel_BuiltIn_Print_Area_3_1_1_1_1_1_1_1_1_1_1_1">#REF!</definedName>
    <definedName name="Excel_BuiltIn_Print_Area_3_1_1_1_1_1_1_1_1_1_1_1_1" localSheetId="1">#REF!</definedName>
    <definedName name="Excel_BuiltIn_Print_Area_3_1_1_1_1_1_1_1_1_1_1_1_1">#REF!</definedName>
    <definedName name="Excel_BuiltIn_Print_Area_3_1_1_1_1_1_1_1_1_1_1_1_1_1" localSheetId="1">#REF!</definedName>
    <definedName name="Excel_BuiltIn_Print_Area_3_1_1_1_1_1_1_1_1_1_1_1_1_1">#REF!</definedName>
    <definedName name="Excel_BuiltIn_Print_Area_3_1_1_1_1_1_1_1_1_1_1_1_1_1_1" localSheetId="1">#REF!</definedName>
    <definedName name="Excel_BuiltIn_Print_Area_3_1_1_1_1_1_1_1_1_1_1_1_1_1_1">#REF!</definedName>
    <definedName name="Excel_BuiltIn_Print_Area_3_1_1_1_1_1_1_1_1_1_1_1_1_1_1_1" localSheetId="1">#REF!</definedName>
    <definedName name="Excel_BuiltIn_Print_Area_3_1_1_1_1_1_1_1_1_1_1_1_1_1_1_1">#REF!</definedName>
    <definedName name="Excel_BuiltIn_Print_Area_3_1_1_1_1_1_1_1_1_1_1_1_1_1_1_1_1" localSheetId="1">#REF!</definedName>
    <definedName name="Excel_BuiltIn_Print_Area_3_1_1_1_1_1_1_1_1_1_1_1_1_1_1_1_1">#REF!</definedName>
    <definedName name="Excel_BuiltIn_Print_Area_3_1_1_1_1_1_1_1_1_1_1_1_1_1_1_1_1_1" localSheetId="1">#REF!</definedName>
    <definedName name="Excel_BuiltIn_Print_Area_3_1_1_1_1_1_1_1_1_1_1_1_1_1_1_1_1_1">#REF!</definedName>
    <definedName name="Excel_BuiltIn_Print_Area_3_1_1_1_1_1_1_1_1_1_1_1_1_1_1_1_1_1_1" localSheetId="1">#REF!</definedName>
    <definedName name="Excel_BuiltIn_Print_Area_3_1_1_1_1_1_1_1_1_1_1_1_1_1_1_1_1_1_1">#REF!</definedName>
    <definedName name="Excel_BuiltIn_Print_Area_3_1_1_1_1_1_1_1_1_1_1_1_1_1_1_1_1_1_1_1" localSheetId="1">#REF!</definedName>
    <definedName name="Excel_BuiltIn_Print_Area_3_1_1_1_1_1_1_1_1_1_1_1_1_1_1_1_1_1_1_1">#REF!</definedName>
    <definedName name="Excel_BuiltIn_Print_Area_3_1_1_1_1_1_1_1_1_1_1_1_1_1_1_1_1_1_1_1_1" localSheetId="1">#REF!</definedName>
    <definedName name="Excel_BuiltIn_Print_Area_3_1_1_1_1_1_1_1_1_1_1_1_1_1_1_1_1_1_1_1_1">#REF!</definedName>
    <definedName name="Excel_BuiltIn_Print_Area_3_1_1_1_1_1_1_1_1_1_1_1_1_1_1_1_1_1_1_1_1_1" localSheetId="1">#REF!</definedName>
    <definedName name="Excel_BuiltIn_Print_Area_3_1_1_1_1_1_1_1_1_1_1_1_1_1_1_1_1_1_1_1_1_1">#REF!</definedName>
    <definedName name="Excel_BuiltIn_Print_Area_3_1_1_1_1_1_1_1_1_1_1_1_1_1_1_1_1_1_1_1_1_1_1" localSheetId="1">#REF!</definedName>
    <definedName name="Excel_BuiltIn_Print_Area_3_1_1_1_1_1_1_1_1_1_1_1_1_1_1_1_1_1_1_1_1_1_1">#REF!</definedName>
    <definedName name="Excel_BuiltIn_Print_Area_3_1_1_1_1_1_1_1_1_1_1_1_1_1_1_1_1_1_1_1_1_1_1_1" localSheetId="1">#REF!</definedName>
    <definedName name="Excel_BuiltIn_Print_Area_3_1_1_1_1_1_1_1_1_1_1_1_1_1_1_1_1_1_1_1_1_1_1_1">#REF!</definedName>
    <definedName name="Excel_BuiltIn_Print_Area_3_1_1_1_1_1_1_1_1_1_1_1_1_1_1_1_1_1_1_1_1_1_1_1_1" localSheetId="1">#REF!</definedName>
    <definedName name="Excel_BuiltIn_Print_Area_3_1_1_1_1_1_1_1_1_1_1_1_1_1_1_1_1_1_1_1_1_1_1_1_1">#REF!</definedName>
    <definedName name="Excel_BuiltIn_Print_Area_3_1_1_1_1_1_1_1_1_1_1_1_1_1_1_1_1_1_1_1_1_1_1_1_1_1" localSheetId="1">#REF!</definedName>
    <definedName name="Excel_BuiltIn_Print_Area_3_1_1_1_1_1_1_1_1_1_1_1_1_1_1_1_1_1_1_1_1_1_1_1_1_1">#REF!</definedName>
    <definedName name="Excel_BuiltIn_Print_Area_3_1_1_1_1_1_1_1_1_1_1_1_1_1_1_1_1_1_1_1_1_1_1_1_1_1_1" localSheetId="1">#REF!</definedName>
    <definedName name="Excel_BuiltIn_Print_Area_3_1_1_1_1_1_1_1_1_1_1_1_1_1_1_1_1_1_1_1_1_1_1_1_1_1_1">#REF!</definedName>
    <definedName name="Excel_BuiltIn_Print_Area_3_1_1_1_1_1_1_1_1_1_1_1_1_1_1_1_1_1_1_1_1_1_1_1_1_1_1_1" localSheetId="1">#REF!</definedName>
    <definedName name="Excel_BuiltIn_Print_Area_3_1_1_1_1_1_1_1_1_1_1_1_1_1_1_1_1_1_1_1_1_1_1_1_1_1_1_1">#REF!</definedName>
    <definedName name="Excel_BuiltIn_Print_Area_3_1_1_1_1_1_1_1_1_1_1_1_1_1_1_1_1_1_1_1_1_1_1_1_1_1_1_1_1" localSheetId="1">#REF!</definedName>
    <definedName name="Excel_BuiltIn_Print_Area_3_1_1_1_1_1_1_1_1_1_1_1_1_1_1_1_1_1_1_1_1_1_1_1_1_1_1_1_1">#REF!</definedName>
    <definedName name="Excel_BuiltIn_Print_Area_3_1_1_1_1_1_1_1_1_1_1_1_1_1_1_1_1_1_1_1_1_1_1_1_1_1_1_1_1_1" localSheetId="1">#REF!</definedName>
    <definedName name="Excel_BuiltIn_Print_Area_3_1_1_1_1_1_1_1_1_1_1_1_1_1_1_1_1_1_1_1_1_1_1_1_1_1_1_1_1_1">#REF!</definedName>
    <definedName name="Excel_BuiltIn_Print_Area_3_1_1_1_1_1_1_1_1_1_1_1_1_1_1_1_1_1_1_1_1_1_1_1_1_1_1_1_1_1_1" localSheetId="1">#REF!</definedName>
    <definedName name="Excel_BuiltIn_Print_Area_3_1_1_1_1_1_1_1_1_1_1_1_1_1_1_1_1_1_1_1_1_1_1_1_1_1_1_1_1_1_1">#REF!</definedName>
    <definedName name="Excel_BuiltIn_Print_Area_3_1_1_1_1_1_1_1_1_1_1_1_1_1_1_1_1_1_1_1_1_1_1_1_1_1_1_1_1_1_1_1" localSheetId="1">#REF!</definedName>
    <definedName name="Excel_BuiltIn_Print_Area_3_1_1_1_1_1_1_1_1_1_1_1_1_1_1_1_1_1_1_1_1_1_1_1_1_1_1_1_1_1_1_1">#REF!</definedName>
    <definedName name="Excel_BuiltIn_Print_Area_3_1_1_1_1_1_1_1_1_1_1_1_1_1_1_1_1_1_1_1_1_1_1_1_1_1_1_1_1_1_1_1_1" localSheetId="1">#REF!</definedName>
    <definedName name="Excel_BuiltIn_Print_Area_3_1_1_1_1_1_1_1_1_1_1_1_1_1_1_1_1_1_1_1_1_1_1_1_1_1_1_1_1_1_1_1_1">#REF!</definedName>
    <definedName name="Excel_BuiltIn_Print_Area_3_1_1_1_1_1_1_1_1_1_1_1_1_1_1_1_1_1_1_1_1_1_1_1_1_1_1_1_1_1_1_1_1_1" localSheetId="1">#REF!</definedName>
    <definedName name="Excel_BuiltIn_Print_Area_3_1_1_1_1_1_1_1_1_1_1_1_1_1_1_1_1_1_1_1_1_1_1_1_1_1_1_1_1_1_1_1_1_1">#REF!</definedName>
    <definedName name="Excel_BuiltIn_Print_Area_3_1_1_1_1_1_1_1_1_1_1_1_1_1_1_1_1_1_1_1_1_1_1_1_1_1_1_1_1_1_1_1_1_1_1" localSheetId="1">#REF!</definedName>
    <definedName name="Excel_BuiltIn_Print_Area_3_1_1_1_1_1_1_1_1_1_1_1_1_1_1_1_1_1_1_1_1_1_1_1_1_1_1_1_1_1_1_1_1_1_1">#REF!</definedName>
    <definedName name="Excel_BuiltIn_Print_Area_4" localSheetId="1">#REF!</definedName>
    <definedName name="Excel_BuiltIn_Print_Area_4">#REF!</definedName>
    <definedName name="Excel_BuiltIn_Print_Area_4_1" localSheetId="1">#REF!</definedName>
    <definedName name="Excel_BuiltIn_Print_Area_4_1">#REF!</definedName>
    <definedName name="Excel_BuiltIn_Print_Area_4_1_1" localSheetId="1">#REF!</definedName>
    <definedName name="Excel_BuiltIn_Print_Area_4_1_1">#REF!</definedName>
    <definedName name="Excel_BuiltIn_Print_Area_4_1_1_1" localSheetId="1">#REF!</definedName>
    <definedName name="Excel_BuiltIn_Print_Area_4_1_1_1">#REF!</definedName>
    <definedName name="Excel_BuiltIn_Print_Area_4_1_1_1_1" localSheetId="1">#REF!</definedName>
    <definedName name="Excel_BuiltIn_Print_Area_4_1_1_1_1">#REF!</definedName>
    <definedName name="Excel_BuiltIn_Print_Area_4_1_1_1_1_1" localSheetId="1">#REF!</definedName>
    <definedName name="Excel_BuiltIn_Print_Area_4_1_1_1_1_1">#REF!</definedName>
    <definedName name="Excel_BuiltIn_Print_Area_4_1_1_1_1_1_1" localSheetId="1">#REF!</definedName>
    <definedName name="Excel_BuiltIn_Print_Area_4_1_1_1_1_1_1">#REF!</definedName>
    <definedName name="Excel_BuiltIn_Print_Area_4_1_1_1_1_1_1_1" localSheetId="1">#REF!</definedName>
    <definedName name="Excel_BuiltIn_Print_Area_4_1_1_1_1_1_1_1">#REF!</definedName>
    <definedName name="Excel_BuiltIn_Print_Area_4_1_1_1_1_1_1_1_1" localSheetId="1">#REF!</definedName>
    <definedName name="Excel_BuiltIn_Print_Area_4_1_1_1_1_1_1_1_1">#REF!</definedName>
    <definedName name="Excel_BuiltIn_Print_Area_4_1_1_1_1_1_1_1_1_1" localSheetId="1">#REF!,#REF!</definedName>
    <definedName name="Excel_BuiltIn_Print_Area_4_1_1_1_1_1_1_1_1_1">#REF!,#REF!</definedName>
    <definedName name="Excel_BuiltIn_Print_Area_4_1_1_1_1_1_1_1_1_1_1" localSheetId="1">#REF!,#REF!</definedName>
    <definedName name="Excel_BuiltIn_Print_Area_4_1_1_1_1_1_1_1_1_1_1">#REF!,#REF!</definedName>
    <definedName name="Excel_BuiltIn_Print_Area_4_1_1_1_1_1_1_1_1_1_1_1" localSheetId="1">#REF!,#REF!</definedName>
    <definedName name="Excel_BuiltIn_Print_Area_4_1_1_1_1_1_1_1_1_1_1_1">#REF!,#REF!</definedName>
    <definedName name="Excel_BuiltIn_Print_Area_4_1_1_1_1_1_1_1_1_1_1_1_1" localSheetId="1">#REF!</definedName>
    <definedName name="Excel_BuiltIn_Print_Area_4_1_1_1_1_1_1_1_1_1_1_1_1">#REF!</definedName>
    <definedName name="Excel_BuiltIn_Print_Area_4_1_1_1_1_1_1_1_1_1_1_1_1_1" localSheetId="1">#REF!</definedName>
    <definedName name="Excel_BuiltIn_Print_Area_4_1_1_1_1_1_1_1_1_1_1_1_1_1">#REF!</definedName>
    <definedName name="Excel_BuiltIn_Print_Area_4_1_1_1_1_1_1_1_1_1_1_1_1_1_1" localSheetId="1">#REF!</definedName>
    <definedName name="Excel_BuiltIn_Print_Area_4_1_1_1_1_1_1_1_1_1_1_1_1_1_1">#REF!</definedName>
    <definedName name="Excel_BuiltIn_Print_Area_4_1_1_1_1_1_1_1_1_1_1_1_1_1_1_1" localSheetId="1">#REF!</definedName>
    <definedName name="Excel_BuiltIn_Print_Area_4_1_1_1_1_1_1_1_1_1_1_1_1_1_1_1">#REF!</definedName>
    <definedName name="Excel_BuiltIn_Print_Area_4_1_1_1_1_1_1_1_1_1_1_1_1_1_1_1_1" localSheetId="1">#REF!</definedName>
    <definedName name="Excel_BuiltIn_Print_Area_4_1_1_1_1_1_1_1_1_1_1_1_1_1_1_1_1">#REF!</definedName>
    <definedName name="Excel_BuiltIn_Print_Area_5_1_1_1" localSheetId="1">#REF!</definedName>
    <definedName name="Excel_BuiltIn_Print_Area_5_1_1_1">#REF!</definedName>
    <definedName name="Excel_BuiltIn_Print_Area_5_1_1_1_1" localSheetId="1">#REF!</definedName>
    <definedName name="Excel_BuiltIn_Print_Area_5_1_1_1_1">#REF!</definedName>
    <definedName name="Excel_BuiltIn_Print_Area_5_1_1_1_1_1_1_1_1_1" localSheetId="1">#REF!</definedName>
    <definedName name="Excel_BuiltIn_Print_Area_5_1_1_1_1_1_1_1_1_1">#REF!</definedName>
    <definedName name="Excel_BuiltIn_Print_Area_5_1_1_1_1_1_1_1_1_1_1" localSheetId="1">#REF!</definedName>
    <definedName name="Excel_BuiltIn_Print_Area_5_1_1_1_1_1_1_1_1_1_1">#REF!</definedName>
    <definedName name="Excel_BuiltIn_Print_Area_5_1_1_1_1_1_1_1_1_1_1_1" localSheetId="1">#REF!</definedName>
    <definedName name="Excel_BuiltIn_Print_Area_5_1_1_1_1_1_1_1_1_1_1_1">#REF!</definedName>
    <definedName name="Excel_BuiltIn_Print_Area_5_1_1_1_1_1_1_1_1_1_1_1_1" localSheetId="1">#REF!</definedName>
    <definedName name="Excel_BuiltIn_Print_Area_5_1_1_1_1_1_1_1_1_1_1_1_1">#REF!</definedName>
    <definedName name="Excel_BuiltIn_Print_Area_5_1_1_1_1_1_1_1_1_1_1_1_1_1" localSheetId="1">#REF!</definedName>
    <definedName name="Excel_BuiltIn_Print_Area_5_1_1_1_1_1_1_1_1_1_1_1_1_1">#REF!</definedName>
    <definedName name="Excel_BuiltIn_Print_Area_5_1_1_1_1_1_1_1_1_1_1_1_1_1_1" localSheetId="1">#REF!</definedName>
    <definedName name="Excel_BuiltIn_Print_Area_5_1_1_1_1_1_1_1_1_1_1_1_1_1_1">#REF!</definedName>
    <definedName name="Excel_BuiltIn_Print_Area_5_1_1_1_1_1_1_1_1_1_1_1_1_1_1_1" localSheetId="1">#REF!</definedName>
    <definedName name="Excel_BuiltIn_Print_Area_5_1_1_1_1_1_1_1_1_1_1_1_1_1_1_1">#REF!</definedName>
    <definedName name="Excel_BuiltIn_Print_Area_5_1_1_1_1_1_1_1_1_1_1_1_1_1_1_1_1" localSheetId="1">#REF!</definedName>
    <definedName name="Excel_BuiltIn_Print_Area_5_1_1_1_1_1_1_1_1_1_1_1_1_1_1_1_1">#REF!</definedName>
    <definedName name="Excel_BuiltIn_Print_Area_6_1_1_1" localSheetId="1">#REF!</definedName>
    <definedName name="Excel_BuiltIn_Print_Area_6_1_1_1">#REF!</definedName>
    <definedName name="Excel_BuiltIn_Print_Area_6_1_1_1_1" localSheetId="1">#REF!</definedName>
    <definedName name="Excel_BuiltIn_Print_Area_6_1_1_1_1">#REF!</definedName>
    <definedName name="Excel_BuiltIn_Print_Area_6_1_1_1_1_1" localSheetId="1">#REF!</definedName>
    <definedName name="Excel_BuiltIn_Print_Area_6_1_1_1_1_1">#REF!</definedName>
    <definedName name="Excel_BuiltIn_Print_Area_6_1_1_1_1_1_1" localSheetId="1">#REF!</definedName>
    <definedName name="Excel_BuiltIn_Print_Area_6_1_1_1_1_1_1">#REF!</definedName>
    <definedName name="Excel_BuiltIn_Print_Area_6_1_1_1_1_1_1_1" localSheetId="1">#REF!</definedName>
    <definedName name="Excel_BuiltIn_Print_Area_6_1_1_1_1_1_1_1">#REF!</definedName>
    <definedName name="Excel_BuiltIn_Print_Area_6_1_1_1_1_1_1_1_1" localSheetId="1">#REF!</definedName>
    <definedName name="Excel_BuiltIn_Print_Area_6_1_1_1_1_1_1_1_1">#REF!</definedName>
    <definedName name="Excel_BuiltIn_Print_Area_6_1_1_1_1_1_1_1_1_1" localSheetId="1">#REF!</definedName>
    <definedName name="Excel_BuiltIn_Print_Area_6_1_1_1_1_1_1_1_1_1">#REF!</definedName>
    <definedName name="Excel_BuiltIn_Print_Area_7" localSheetId="1">[29]สุขาภิบาล!#REF!</definedName>
    <definedName name="Excel_BuiltIn_Print_Area_7">[29]สุขาภิบาล!#REF!</definedName>
    <definedName name="Excel_BuiltIn_Print_Area_7_1" localSheetId="1">#REF!</definedName>
    <definedName name="Excel_BuiltIn_Print_Area_7_1">#REF!</definedName>
    <definedName name="Excel_BuiltIn_Print_Area_7_1_1" localSheetId="1">#REF!</definedName>
    <definedName name="Excel_BuiltIn_Print_Area_7_1_1">#REF!</definedName>
    <definedName name="Excel_BuiltIn_Print_Area_7_1_1_1" localSheetId="1">#REF!</definedName>
    <definedName name="Excel_BuiltIn_Print_Area_7_1_1_1">#REF!</definedName>
    <definedName name="Excel_BuiltIn_Print_Area_7_1_1_1_1" localSheetId="1">#REF!</definedName>
    <definedName name="Excel_BuiltIn_Print_Area_7_1_1_1_1">#REF!</definedName>
    <definedName name="Excel_BuiltIn_Print_Area_7_1_1_1_1_1" localSheetId="1">#REF!</definedName>
    <definedName name="Excel_BuiltIn_Print_Area_7_1_1_1_1_1">#REF!</definedName>
    <definedName name="Excel_BuiltIn_Print_Area_7_1_1_1_1_1_1" localSheetId="1">#REF!</definedName>
    <definedName name="Excel_BuiltIn_Print_Area_7_1_1_1_1_1_1">#REF!</definedName>
    <definedName name="Excel_BuiltIn_Print_Area_7_1_1_1_1_1_1_1" localSheetId="1">#REF!</definedName>
    <definedName name="Excel_BuiltIn_Print_Area_7_1_1_1_1_1_1_1">#REF!</definedName>
    <definedName name="Excel_BuiltIn_Print_Area_7_1_1_1_1_1_1_1_1" localSheetId="1">#REF!</definedName>
    <definedName name="Excel_BuiltIn_Print_Area_7_1_1_1_1_1_1_1_1">#REF!</definedName>
    <definedName name="Excel_BuiltIn_Print_Area_7_1_1_1_1_1_1_1_1_1" localSheetId="1">#REF!</definedName>
    <definedName name="Excel_BuiltIn_Print_Area_7_1_1_1_1_1_1_1_1_1">#REF!</definedName>
    <definedName name="Excel_BuiltIn_Print_Area_7_1_1_1_1_1_1_1_1_1_1" localSheetId="1">#REF!</definedName>
    <definedName name="Excel_BuiltIn_Print_Area_7_1_1_1_1_1_1_1_1_1_1">#REF!</definedName>
    <definedName name="Excel_BuiltIn_Print_Area_8_1" localSheetId="1">#REF!</definedName>
    <definedName name="Excel_BuiltIn_Print_Area_8_1">#REF!</definedName>
    <definedName name="Excel_BuiltIn_Print_Area_8_1_1" localSheetId="1">#REF!</definedName>
    <definedName name="Excel_BuiltIn_Print_Area_8_1_1">#REF!</definedName>
    <definedName name="Excel_BuiltIn_Print_Area_8_1_1_1" localSheetId="1">#REF!</definedName>
    <definedName name="Excel_BuiltIn_Print_Area_8_1_1_1">#REF!</definedName>
    <definedName name="Excel_BuiltIn_Print_Area_8_1_1_1_1" localSheetId="1">#REF!</definedName>
    <definedName name="Excel_BuiltIn_Print_Area_8_1_1_1_1">#REF!</definedName>
    <definedName name="Excel_BuiltIn_Print_Area_8_1_1_1_1_1" localSheetId="1">#REF!</definedName>
    <definedName name="Excel_BuiltIn_Print_Area_8_1_1_1_1_1">#REF!</definedName>
    <definedName name="Excel_BuiltIn_Print_Area_8_1_1_1_1_1_1" localSheetId="1">#REF!</definedName>
    <definedName name="Excel_BuiltIn_Print_Area_8_1_1_1_1_1_1">#REF!</definedName>
    <definedName name="Excel_BuiltIn_Print_Area_8_1_1_1_1_1_1_1" localSheetId="1">#REF!</definedName>
    <definedName name="Excel_BuiltIn_Print_Area_8_1_1_1_1_1_1_1">#REF!</definedName>
    <definedName name="Excel_BuiltIn_Print_Area_8_1_1_1_1_1_1_1_1" localSheetId="1">#REF!</definedName>
    <definedName name="Excel_BuiltIn_Print_Area_8_1_1_1_1_1_1_1_1">#REF!</definedName>
    <definedName name="Excel_BuiltIn_Print_Area_9_1" localSheetId="1">#REF!</definedName>
    <definedName name="Excel_BuiltIn_Print_Area_9_1">#REF!</definedName>
    <definedName name="Excel_BuiltIn_Print_Area_9_1_1" localSheetId="1">#REF!</definedName>
    <definedName name="Excel_BuiltIn_Print_Area_9_1_1">#REF!</definedName>
    <definedName name="Excel_BuiltIn_Print_Area_9_1_1_1" localSheetId="1">#REF!</definedName>
    <definedName name="Excel_BuiltIn_Print_Area_9_1_1_1">#REF!</definedName>
    <definedName name="Excel_BuiltIn_Print_Area_9_1_1_1_1" localSheetId="1">#REF!</definedName>
    <definedName name="Excel_BuiltIn_Print_Area_9_1_1_1_1">#REF!</definedName>
    <definedName name="Excel_BuiltIn_Print_Area_9_1_1_1_1_1" localSheetId="1">#REF!</definedName>
    <definedName name="Excel_BuiltIn_Print_Area_9_1_1_1_1_1">#REF!</definedName>
    <definedName name="Excel_BuiltIn_Print_Area_9_1_1_1_1_1_1" localSheetId="1">#REF!</definedName>
    <definedName name="Excel_BuiltIn_Print_Area_9_1_1_1_1_1_1">#REF!</definedName>
    <definedName name="Excel_BuiltIn_Print_Area_9_1_1_1_1_1_1_1" localSheetId="1">#REF!</definedName>
    <definedName name="Excel_BuiltIn_Print_Area_9_1_1_1_1_1_1_1">#REF!</definedName>
    <definedName name="Excel_BuiltIn_Print_Titles">[30]splinkler!$A$1:$IV$6</definedName>
    <definedName name="Excel_BuiltIn_Print_Titles_0">[30]splinkler!$A$1:$IV$6</definedName>
    <definedName name="Excel_BuiltIn_Print_Titles_1" localSheetId="1">#REF!</definedName>
    <definedName name="Excel_BuiltIn_Print_Titles_1">#REF!</definedName>
    <definedName name="Excel_BuiltIn_Print_Titles_1_1" localSheetId="1">#REF!</definedName>
    <definedName name="Excel_BuiltIn_Print_Titles_1_1">#REF!</definedName>
    <definedName name="Excel_BuiltIn_Print_Titles_1_1_1" localSheetId="1">#REF!</definedName>
    <definedName name="Excel_BuiltIn_Print_Titles_1_1_1">#REF!</definedName>
    <definedName name="Excel_BuiltIn_Print_Titles_10" localSheetId="1">#REF!</definedName>
    <definedName name="Excel_BuiltIn_Print_Titles_10">#REF!</definedName>
    <definedName name="Excel_BuiltIn_Print_Titles_10_1" localSheetId="1">#REF!</definedName>
    <definedName name="Excel_BuiltIn_Print_Titles_10_1">#REF!</definedName>
    <definedName name="Excel_BuiltIn_Print_Titles_10_1_1" localSheetId="1">#REF!</definedName>
    <definedName name="Excel_BuiltIn_Print_Titles_10_1_1">#REF!</definedName>
    <definedName name="Excel_BuiltIn_Print_Titles_11" localSheetId="1">#REF!</definedName>
    <definedName name="Excel_BuiltIn_Print_Titles_11">#REF!</definedName>
    <definedName name="Excel_BuiltIn_Print_Titles_11_1" localSheetId="1">#REF!</definedName>
    <definedName name="Excel_BuiltIn_Print_Titles_11_1">#REF!</definedName>
    <definedName name="Excel_BuiltIn_Print_Titles_12_1" localSheetId="1">#REF!</definedName>
    <definedName name="Excel_BuiltIn_Print_Titles_12_1">#REF!</definedName>
    <definedName name="Excel_BuiltIn_Print_Titles_13" localSheetId="1">#REF!</definedName>
    <definedName name="Excel_BuiltIn_Print_Titles_13">#REF!</definedName>
    <definedName name="Excel_BuiltIn_Print_Titles_14" localSheetId="1">#REF!</definedName>
    <definedName name="Excel_BuiltIn_Print_Titles_14">#REF!</definedName>
    <definedName name="Excel_BuiltIn_Print_Titles_14_1" localSheetId="1">#REF!</definedName>
    <definedName name="Excel_BuiltIn_Print_Titles_14_1">#REF!</definedName>
    <definedName name="Excel_BuiltIn_Print_Titles_16" localSheetId="1">#REF!</definedName>
    <definedName name="Excel_BuiltIn_Print_Titles_16">#REF!</definedName>
    <definedName name="Excel_BuiltIn_Print_Titles_17" localSheetId="1">#REF!</definedName>
    <definedName name="Excel_BuiltIn_Print_Titles_17">#REF!</definedName>
    <definedName name="Excel_BuiltIn_Print_Titles_18" localSheetId="1">#REF!</definedName>
    <definedName name="Excel_BuiltIn_Print_Titles_18">#REF!</definedName>
    <definedName name="Excel_BuiltIn_Print_Titles_2" localSheetId="1">#REF!</definedName>
    <definedName name="Excel_BuiltIn_Print_Titles_2">#REF!</definedName>
    <definedName name="Excel_BuiltIn_Print_Titles_2_1" localSheetId="1">#REF!</definedName>
    <definedName name="Excel_BuiltIn_Print_Titles_2_1">#REF!</definedName>
    <definedName name="Excel_BuiltIn_Print_Titles_2_1_1" localSheetId="1">#REF!</definedName>
    <definedName name="Excel_BuiltIn_Print_Titles_2_1_1">#REF!</definedName>
    <definedName name="Excel_BuiltIn_Print_Titles_3_1_1_1_1" localSheetId="1">#REF!</definedName>
    <definedName name="Excel_BuiltIn_Print_Titles_3_1_1_1_1">#REF!</definedName>
    <definedName name="Excel_BuiltIn_Print_Titles_3_1_1_1_1_1" localSheetId="1">#REF!</definedName>
    <definedName name="Excel_BuiltIn_Print_Titles_3_1_1_1_1_1">#REF!</definedName>
    <definedName name="Excel_BuiltIn_Print_Titles_3_1_1_1_1_1_1" localSheetId="1">#REF!</definedName>
    <definedName name="Excel_BuiltIn_Print_Titles_3_1_1_1_1_1_1">#REF!</definedName>
    <definedName name="Excel_BuiltIn_Print_Titles_4_1" localSheetId="1">#REF!</definedName>
    <definedName name="Excel_BuiltIn_Print_Titles_4_1">#REF!</definedName>
    <definedName name="Excel_BuiltIn_Print_Titles_4_1_1" localSheetId="1">#REF!</definedName>
    <definedName name="Excel_BuiltIn_Print_Titles_4_1_1">#REF!</definedName>
    <definedName name="Excel_BuiltIn_Print_Titles_4_1_1_1" localSheetId="1">#REF!</definedName>
    <definedName name="Excel_BuiltIn_Print_Titles_4_1_1_1">#REF!</definedName>
    <definedName name="Excel_BuiltIn_Print_Titles_4_1_1_1_1" localSheetId="1">#REF!</definedName>
    <definedName name="Excel_BuiltIn_Print_Titles_4_1_1_1_1">#REF!</definedName>
    <definedName name="Excel_BuiltIn_Print_Titles_5_1" localSheetId="1">#REF!</definedName>
    <definedName name="Excel_BuiltIn_Print_Titles_5_1">#REF!</definedName>
    <definedName name="Excel_BuiltIn_Print_Titles_5_1_1_1" localSheetId="1">#REF!</definedName>
    <definedName name="Excel_BuiltIn_Print_Titles_5_1_1_1">#REF!</definedName>
    <definedName name="Excel_BuiltIn_Print_Titles_6" localSheetId="1">#REF!</definedName>
    <definedName name="Excel_BuiltIn_Print_Titles_6">#REF!</definedName>
    <definedName name="Excel_BuiltIn_Print_Titles_6_1" localSheetId="1">#REF!</definedName>
    <definedName name="Excel_BuiltIn_Print_Titles_6_1">#REF!</definedName>
    <definedName name="Excel_BuiltIn_Print_Titles_7_1" localSheetId="1">#REF!</definedName>
    <definedName name="Excel_BuiltIn_Print_Titles_7_1">#REF!</definedName>
    <definedName name="Excel_BuiltIn_Print_Titles_7_1_1" localSheetId="1">#REF!</definedName>
    <definedName name="Excel_BuiltIn_Print_Titles_7_1_1">#REF!</definedName>
    <definedName name="Excel_BuiltIn_Print_Titles_8" localSheetId="1">#REF!</definedName>
    <definedName name="Excel_BuiltIn_Print_Titles_8">#REF!</definedName>
    <definedName name="Excel_BuiltIn_Print_Titles_8_1" localSheetId="1">#REF!</definedName>
    <definedName name="Excel_BuiltIn_Print_Titles_8_1">#REF!</definedName>
    <definedName name="Excel_BuiltIn_Print_Titles_9" localSheetId="1">#REF!</definedName>
    <definedName name="Excel_BuiltIn_Print_Titles_9">#REF!</definedName>
    <definedName name="Excel_BuiltIn_Print_Titles_9_1" localSheetId="1">#REF!</definedName>
    <definedName name="Excel_BuiltIn_Print_Titles_9_1">#REF!</definedName>
    <definedName name="Extra_Pay" localSheetId="1">#REF!</definedName>
    <definedName name="Extra_Pay">#REF!</definedName>
    <definedName name="ExtraCredit" localSheetId="1">#REF!</definedName>
    <definedName name="ExtraCredit">#REF!</definedName>
    <definedName name="_xlnm.Extract" localSheetId="1">#REF!</definedName>
    <definedName name="_xlnm.Extract">#REF!</definedName>
    <definedName name="f" localSheetId="1">#REF!</definedName>
    <definedName name="f">#REF!</definedName>
    <definedName name="f___0" localSheetId="1">#REF!</definedName>
    <definedName name="f___0">#REF!</definedName>
    <definedName name="F5TF" localSheetId="1" hidden="1">[31]FAB별!#REF!</definedName>
    <definedName name="F5TF" hidden="1">[31]FAB별!#REF!</definedName>
    <definedName name="fa" localSheetId="1">#REF!</definedName>
    <definedName name="fa">#REF!</definedName>
    <definedName name="FACTOR" localSheetId="1">#REF!</definedName>
    <definedName name="FACTOR">#REF!</definedName>
    <definedName name="factor_table" localSheetId="1">#REF!</definedName>
    <definedName name="factor_table">#REF!</definedName>
    <definedName name="FACTORY" hidden="1">{#N/A,#N/A,TRUE,"SUM";#N/A,#N/A,TRUE,"EE";#N/A,#N/A,TRUE,"AC";#N/A,#N/A,TRUE,"SN"}</definedName>
    <definedName name="FAXNO" localSheetId="1">#REF!</definedName>
    <definedName name="FAXNO">#REF!</definedName>
    <definedName name="fbfx" localSheetId="1" hidden="1">#REF!</definedName>
    <definedName name="fbfx" hidden="1">#REF!</definedName>
    <definedName name="FDFDSF" hidden="1">{#N/A,#N/A,TRUE,"SUM";#N/A,#N/A,TRUE,"EE";#N/A,#N/A,TRUE,"AC";#N/A,#N/A,TRUE,"SN"}</definedName>
    <definedName name="fdfs" hidden="1">{#N/A,#N/A,TRUE,"SUM";#N/A,#N/A,TRUE,"EE";#N/A,#N/A,TRUE,"AC";#N/A,#N/A,TRUE,"SN"}</definedName>
    <definedName name="fdfsdfs" hidden="1">{#N/A,#N/A,TRUE,"SUM";#N/A,#N/A,TRUE,"EE";#N/A,#N/A,TRUE,"AC";#N/A,#N/A,TRUE,"SN"}</definedName>
    <definedName name="fdgh" hidden="1">{#N/A,#N/A,TRUE,"SUM";#N/A,#N/A,TRUE,"EE";#N/A,#N/A,TRUE,"AC";#N/A,#N/A,TRUE,"SN"}</definedName>
    <definedName name="fdghrfdgfdgftdgfdfgdgfdgfdfgd" localSheetId="1">#REF!</definedName>
    <definedName name="fdghrfdgfdgftdgfdfgdgfdgfdfgd">#REF!</definedName>
    <definedName name="fdsgv" localSheetId="1" hidden="1">[4]tifico!#REF!</definedName>
    <definedName name="fdsgv" hidden="1">[4]tifico!#REF!</definedName>
    <definedName name="fdshy" localSheetId="1" hidden="1">[4]tifico!#REF!</definedName>
    <definedName name="fdshy" hidden="1">[4]tifico!#REF!</definedName>
    <definedName name="FF" hidden="1">{#N/A,#N/A,TRUE,"SUM";#N/A,#N/A,TRUE,"EE";#N/A,#N/A,TRUE,"AC";#N/A,#N/A,TRUE,"SN"}</definedName>
    <definedName name="ffffd" hidden="1">{#N/A,#N/A,TRUE,"SUM";#N/A,#N/A,TRUE,"EE";#N/A,#N/A,TRUE,"AC";#N/A,#N/A,TRUE,"SN"}</definedName>
    <definedName name="fgdfsgda" localSheetId="1" hidden="1">#REF!</definedName>
    <definedName name="fgdfsgda" hidden="1">#REF!</definedName>
    <definedName name="fgff" localSheetId="0" hidden="1">{#N/A,#N/A,TRUE,"SUM";#N/A,#N/A,TRUE,"EE";#N/A,#N/A,TRUE,"AC";#N/A,#N/A,TRUE,"SN"}</definedName>
    <definedName name="fgff" hidden="1">{#N/A,#N/A,TRUE,"SUM";#N/A,#N/A,TRUE,"EE";#N/A,#N/A,TRUE,"AC";#N/A,#N/A,TRUE,"SN"}</definedName>
    <definedName name="fgh" localSheetId="1" hidden="1">#REF!</definedName>
    <definedName name="fgh" hidden="1">#REF!</definedName>
    <definedName name="fghhtur" localSheetId="1" hidden="1">'[1]#REF'!#REF!</definedName>
    <definedName name="fghhtur" hidden="1">'[1]#REF'!#REF!</definedName>
    <definedName name="fgjdjfdgfgj" localSheetId="1" hidden="1">[4]tifico!#REF!</definedName>
    <definedName name="fgjdjfdgfgj" hidden="1">[4]tifico!#REF!</definedName>
    <definedName name="FLOOR" localSheetId="1">#REF!</definedName>
    <definedName name="FLOOR">#REF!</definedName>
    <definedName name="footing" localSheetId="1">#REF!</definedName>
    <definedName name="footing">#REF!</definedName>
    <definedName name="Formula" localSheetId="1">#REF!</definedName>
    <definedName name="Formula">#REF!</definedName>
    <definedName name="Fruit" localSheetId="1">#REF!</definedName>
    <definedName name="Fruit">#REF!</definedName>
    <definedName name="fsac" localSheetId="1" hidden="1">'[1]#REF'!#REF!</definedName>
    <definedName name="fsac" hidden="1">'[1]#REF'!#REF!</definedName>
    <definedName name="fsd" hidden="1">{#N/A,#N/A,TRUE,"Str.";#N/A,#N/A,TRUE,"Steel &amp; Roof";#N/A,#N/A,TRUE,"Arc.";#N/A,#N/A,TRUE,"Preliminary";#N/A,#N/A,TRUE,"Sum_Prelim"}</definedName>
    <definedName name="fsdfa" localSheetId="1" hidden="1">'[1]#REF'!#REF!</definedName>
    <definedName name="fsdfa" hidden="1">'[1]#REF'!#REF!</definedName>
    <definedName name="FSDFSDF" hidden="1">{#N/A,#N/A,TRUE,"SUM";#N/A,#N/A,TRUE,"EE";#N/A,#N/A,TRUE,"AC";#N/A,#N/A,TRUE,"SN"}</definedName>
    <definedName name="ftg" hidden="1">{#N/A,#N/A,TRUE,"SUM";#N/A,#N/A,TRUE,"EE";#N/A,#N/A,TRUE,"AC";#N/A,#N/A,TRUE,"SN"}</definedName>
    <definedName name="Full_Print" localSheetId="1">#REF!</definedName>
    <definedName name="Full_Print">#REF!</definedName>
    <definedName name="g">'[18]SH-G'!$C$1:$G$600</definedName>
    <definedName name="G_A21Z_F" localSheetId="1">#REF!</definedName>
    <definedName name="G_A21Z_F">#REF!</definedName>
    <definedName name="G_CA1_3" localSheetId="1">#REF!</definedName>
    <definedName name="G_CA1_3">#REF!</definedName>
    <definedName name="G_CAF4_M" localSheetId="1">#REF!</definedName>
    <definedName name="G_CAF4_M">#REF!</definedName>
    <definedName name="G_D64_3" localSheetId="1">#REF!</definedName>
    <definedName name="G_D64_3">#REF!</definedName>
    <definedName name="G_L11_5" localSheetId="1">#REF!</definedName>
    <definedName name="G_L11_5">#REF!</definedName>
    <definedName name="G_L11A_F" localSheetId="1">#REF!</definedName>
    <definedName name="G_L11A_F">#REF!</definedName>
    <definedName name="G_N11B_F" localSheetId="1">#REF!</definedName>
    <definedName name="G_N11B_F">#REF!</definedName>
    <definedName name="G_W23_3" localSheetId="1">#REF!</definedName>
    <definedName name="G_W23_3">#REF!</definedName>
    <definedName name="G_W64_3" localSheetId="1">#REF!</definedName>
    <definedName name="G_W64_3">#REF!</definedName>
    <definedName name="G1A">'[14]แบบ G'!$E$35</definedName>
    <definedName name="G1B">'[14]แบบ G'!$H$35</definedName>
    <definedName name="G1C">'[14]แบบ G'!$K$35</definedName>
    <definedName name="G2A">'[14]แบบ G'!$E$72</definedName>
    <definedName name="G2B">'[14]แบบ G'!$H$72</definedName>
    <definedName name="G2C">'[14]แบบ G'!$K$72</definedName>
    <definedName name="G4A">'[14]แบบ G'!$E$109</definedName>
    <definedName name="G4B">'[14]แบบ G'!$H$109</definedName>
    <definedName name="G4C">'[14]แบบ G'!$K$109</definedName>
    <definedName name="G5A">'[14]แบบ G'!$E$146</definedName>
    <definedName name="G5B">'[14]แบบ G'!$H$146</definedName>
    <definedName name="G5C">'[14]แบบ G'!$K$146</definedName>
    <definedName name="G6A">'[14]แบบ G'!$E$183</definedName>
    <definedName name="G6B">'[14]แบบ G'!$H$183</definedName>
    <definedName name="G6C">'[14]แบบ G'!$K$183</definedName>
    <definedName name="G7A">'[14]แบบ G'!$E$220</definedName>
    <definedName name="G7B">'[14]แบบ G'!$H$220</definedName>
    <definedName name="G7C">'[14]แบบ G'!$K$220</definedName>
    <definedName name="G8A">'[14]แบบ G'!$E$257</definedName>
    <definedName name="G8B">'[14]แบบ G'!$H$257</definedName>
    <definedName name="G8C">'[14]แบบ G'!$K$257</definedName>
    <definedName name="g9a">'[14]แบบ G'!$E$294</definedName>
    <definedName name="g9b">'[14]แบบ G'!$H$294</definedName>
    <definedName name="g9c">'[14]แบบ G'!$K$294</definedName>
    <definedName name="GEN" localSheetId="1">#REF!</definedName>
    <definedName name="GEN">#REF!</definedName>
    <definedName name="GG" hidden="1">{#N/A,#N/A,TRUE,"SUM";#N/A,#N/A,TRUE,"EE";#N/A,#N/A,TRUE,"AC";#N/A,#N/A,TRUE,"SN"}</definedName>
    <definedName name="GGGGG" hidden="1">{#N/A,#N/A,TRUE,"SUM";#N/A,#N/A,TRUE,"EE";#N/A,#N/A,TRUE,"AC";#N/A,#N/A,TRUE,"SN"}</definedName>
    <definedName name="ghgh" hidden="1">{#N/A,#N/A,TRUE,"SUM";#N/A,#N/A,TRUE,"EE";#N/A,#N/A,TRUE,"AC";#N/A,#N/A,TRUE,"SN"}</definedName>
    <definedName name="ghk" hidden="1">{#N/A,#N/A,TRUE,"SUM";#N/A,#N/A,TRUE,"EE";#N/A,#N/A,TRUE,"AC";#N/A,#N/A,TRUE,"SN"}</definedName>
    <definedName name="ghsgd" localSheetId="1" hidden="1">#REF!</definedName>
    <definedName name="ghsgd" hidden="1">#REF!</definedName>
    <definedName name="ghu" hidden="1">{#N/A,#N/A,TRUE,"Str.";#N/A,#N/A,TRUE,"Steel &amp; Roof";#N/A,#N/A,TRUE,"Arc.";#N/A,#N/A,TRUE,"Preliminary";#N/A,#N/A,TRUE,"Sum_Prelim"}</definedName>
    <definedName name="gjsjsj" localSheetId="1" hidden="1">[8]escon!#REF!</definedName>
    <definedName name="gjsjsj" hidden="1">[8]escon!#REF!</definedName>
    <definedName name="gkgk" localSheetId="1">[32]ภูมิทัศน์!#REF!</definedName>
    <definedName name="gkgk">[32]ภูมิทัศน์!#REF!</definedName>
    <definedName name="gnm" hidden="1">{#N/A,#N/A,TRUE,"SUM";#N/A,#N/A,TRUE,"EE";#N/A,#N/A,TRUE,"AC";#N/A,#N/A,TRUE,"SN"}</definedName>
    <definedName name="gop" hidden="1">{#N/A,#N/A,TRUE,"SUM";#N/A,#N/A,TRUE,"EE";#N/A,#N/A,TRUE,"AC";#N/A,#N/A,TRUE,"SN"}</definedName>
    <definedName name="gsadt" localSheetId="1" hidden="1">[7]DETAIL!#REF!</definedName>
    <definedName name="gsadt" hidden="1">[7]DETAIL!#REF!</definedName>
    <definedName name="gsdgdgd" localSheetId="1" hidden="1">#REF!</definedName>
    <definedName name="gsdgdgd" hidden="1">#REF!</definedName>
    <definedName name="gsdggdsgd" localSheetId="1" hidden="1">#REF!</definedName>
    <definedName name="gsdggdsgd" hidden="1">#REF!</definedName>
    <definedName name="gsdsgdgasg" localSheetId="1" hidden="1">#REF!</definedName>
    <definedName name="gsdsgdgasg" hidden="1">#REF!</definedName>
    <definedName name="gvs" localSheetId="1" hidden="1">[4]tifico!#REF!</definedName>
    <definedName name="gvs" hidden="1">[4]tifico!#REF!</definedName>
    <definedName name="h" localSheetId="1">#REF!</definedName>
    <definedName name="h">#REF!</definedName>
    <definedName name="H15A">'[14]แบบ H'!$E$110</definedName>
    <definedName name="H15B">'[14]แบบ H'!$H$110</definedName>
    <definedName name="H15C">'[14]แบบ H'!$K$110</definedName>
    <definedName name="H7A">'[14]แบบ H'!$E$36</definedName>
    <definedName name="H7B">'[14]แบบ H'!$H$36</definedName>
    <definedName name="H7C">'[14]แบบ H'!$K$36</definedName>
    <definedName name="H9A">'[14]แบบ H'!$E$73</definedName>
    <definedName name="H9B">'[14]แบบ H'!$H$73</definedName>
    <definedName name="H9C">'[14]แบบ H'!$K$73</definedName>
    <definedName name="hb" localSheetId="1" hidden="1">[31]FAB별!#REF!</definedName>
    <definedName name="hb" hidden="1">[31]FAB별!#REF!</definedName>
    <definedName name="hdfg" localSheetId="1" hidden="1">[33]FAB별!#REF!</definedName>
    <definedName name="hdfg" hidden="1">[33]FAB별!#REF!</definedName>
    <definedName name="Header_Row" localSheetId="1">ROW(#REF!)</definedName>
    <definedName name="Header_Row">ROW(#REF!)</definedName>
    <definedName name="hfjjjy" localSheetId="1" hidden="1">#REF!</definedName>
    <definedName name="hfjjjy" hidden="1">#REF!</definedName>
    <definedName name="HHHHHH" hidden="1">{#N/A,#N/A,TRUE,"SUM";#N/A,#N/A,TRUE,"EE";#N/A,#N/A,TRUE,"AC";#N/A,#N/A,TRUE,"SN"}</definedName>
    <definedName name="hi" hidden="1">{#N/A,#N/A,TRUE,"SUM";#N/A,#N/A,TRUE,"EE";#N/A,#N/A,TRUE,"AC";#N/A,#N/A,TRUE,"SN"}</definedName>
    <definedName name="HIGH" localSheetId="1" hidden="1">[33]FAB별!#REF!</definedName>
    <definedName name="HIGH" hidden="1">[33]FAB별!#REF!</definedName>
    <definedName name="hj" localSheetId="1">#REF!</definedName>
    <definedName name="hj">#REF!</definedName>
    <definedName name="hkgf" localSheetId="1" hidden="1">#REF!</definedName>
    <definedName name="hkgf" hidden="1">#REF!</definedName>
    <definedName name="hmom" hidden="1">{#N/A,#N/A,TRUE,"SUM";#N/A,#N/A,TRUE,"EE";#N/A,#N/A,TRUE,"AC";#N/A,#N/A,TRUE,"SN"}</definedName>
    <definedName name="hpl" hidden="1">{#N/A,#N/A,TRUE,"Str.";#N/A,#N/A,TRUE,"Steel &amp; Roof";#N/A,#N/A,TRUE,"Arc.";#N/A,#N/A,TRUE,"Preliminary";#N/A,#N/A,TRUE,"Sum_Prelim"}</definedName>
    <definedName name="hsd" hidden="1">{"'SUMMATION'!$B$2:$I$2"}</definedName>
    <definedName name="HTML_CodePage" hidden="1">874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4" hidden="1">TRUE</definedName>
    <definedName name="HTML_OS" hidden="1">0</definedName>
    <definedName name="HTML_PathFile" hidden="1">"C:\SAni.htm"</definedName>
    <definedName name="HTML_Title" hidden="1">"อาคารเรียนรวม"</definedName>
    <definedName name="hyt" hidden="1">{#N/A,#N/A,TRUE,"Str.";#N/A,#N/A,TRUE,"Steel &amp; Roof";#N/A,#N/A,TRUE,"Arc.";#N/A,#N/A,TRUE,"Preliminary";#N/A,#N/A,TRUE,"Sum_Prelim"}</definedName>
    <definedName name="I" localSheetId="1">#REF!</definedName>
    <definedName name="I">#REF!</definedName>
    <definedName name="I_15" localSheetId="1">#REF!</definedName>
    <definedName name="I_15">#REF!</definedName>
    <definedName name="I_CONV_L" localSheetId="1">[12]สรุป_EMC!#REF!</definedName>
    <definedName name="I_CONV_L">[12]สรุป_EMC!#REF!</definedName>
    <definedName name="I_CONV_M" localSheetId="1">[12]สรุป_EMC!#REF!</definedName>
    <definedName name="I_CONV_M">[12]สรุป_EMC!#REF!</definedName>
    <definedName name="I184P" localSheetId="1">#REF!</definedName>
    <definedName name="I184P">#REF!</definedName>
    <definedName name="I186P" localSheetId="1">#REF!</definedName>
    <definedName name="I186P">#REF!</definedName>
    <definedName name="i224p" localSheetId="1">#REF!</definedName>
    <definedName name="i224p">#REF!</definedName>
    <definedName name="i226p" localSheetId="1">#REF!</definedName>
    <definedName name="i226p">#REF!</definedName>
    <definedName name="ie" localSheetId="1">#REF!</definedName>
    <definedName name="ie">#REF!</definedName>
    <definedName name="ie___0" localSheetId="1">#REF!</definedName>
    <definedName name="ie___0">#REF!</definedName>
    <definedName name="INST1I">[23]UNIT!$C$20</definedName>
    <definedName name="INST2I">[23]UNIT!$C$21</definedName>
    <definedName name="INST3I">[23]UNIT!$C$22</definedName>
    <definedName name="INST4I">[23]UNIT!$C$23</definedName>
    <definedName name="INST5I">[23]UNIT!$C$24</definedName>
    <definedName name="INST6I">[23]UNIT!$C$25</definedName>
    <definedName name="INSTPILECAP">[23]UNIT!$C$27</definedName>
    <definedName name="Int" localSheetId="1">#REF!</definedName>
    <definedName name="Int">#REF!</definedName>
    <definedName name="Interest_Rate" localSheetId="1">#REF!</definedName>
    <definedName name="Interest_Rate">#REF!</definedName>
    <definedName name="io" localSheetId="1">#REF!</definedName>
    <definedName name="io">#REF!</definedName>
    <definedName name="iot" hidden="1">{"'장비'!$A$3:$M$12"}</definedName>
    <definedName name="IRTDI" localSheetId="1" hidden="1">[7]DETAIL!#REF!</definedName>
    <definedName name="IRTDI" hidden="1">[7]DETAIL!#REF!</definedName>
    <definedName name="Items" localSheetId="1">#REF!</definedName>
    <definedName name="Items">#REF!</definedName>
    <definedName name="iuttio" hidden="1">{#N/A,#N/A,TRUE,"SUM";#N/A,#N/A,TRUE,"EE";#N/A,#N/A,TRUE,"AC";#N/A,#N/A,TRUE,"SN"}</definedName>
    <definedName name="IX" localSheetId="1">#REF!</definedName>
    <definedName name="IX">#REF!</definedName>
    <definedName name="IX_15" localSheetId="1">#REF!</definedName>
    <definedName name="IX_15">#REF!</definedName>
    <definedName name="IY" localSheetId="1">#REF!</definedName>
    <definedName name="IY">#REF!</definedName>
    <definedName name="IY_15" localSheetId="1">#REF!</definedName>
    <definedName name="IY_15">#REF!</definedName>
    <definedName name="jdfgjdffdgj" localSheetId="1" hidden="1">[6]escon!#REF!</definedName>
    <definedName name="jdfgjdffdgj" hidden="1">[6]escon!#REF!</definedName>
    <definedName name="jffjdfghd" localSheetId="1" hidden="1">#REF!</definedName>
    <definedName name="jffjdfghd" hidden="1">#REF!</definedName>
    <definedName name="jfg" hidden="1">{#N/A,#N/A,TRUE,"Str.";#N/A,#N/A,TRUE,"Steel &amp; Roof";#N/A,#N/A,TRUE,"Arc.";#N/A,#N/A,TRUE,"Preliminary";#N/A,#N/A,TRUE,"Sum_Prelim"}</definedName>
    <definedName name="jfgjfghj" localSheetId="1" hidden="1">[34]FAB별!#REF!</definedName>
    <definedName name="jfgjfghj" hidden="1">[34]FAB별!#REF!</definedName>
    <definedName name="jfgjjd" localSheetId="1" hidden="1">[4]tifico!#REF!</definedName>
    <definedName name="jfgjjd" hidden="1">[4]tifico!#REF!</definedName>
    <definedName name="jfu" localSheetId="1" hidden="1">#REF!</definedName>
    <definedName name="jfu" hidden="1">#REF!</definedName>
    <definedName name="JJ" localSheetId="1">#REF!</definedName>
    <definedName name="JJ">#REF!</definedName>
    <definedName name="jjjjfd" localSheetId="1" hidden="1">[5]FR!#REF!</definedName>
    <definedName name="jjjjfd" hidden="1">[5]FR!#REF!</definedName>
    <definedName name="JKDFSJCSDKJ" hidden="1">{#N/A,#N/A,TRUE,"SUM";#N/A,#N/A,TRUE,"EE";#N/A,#N/A,TRUE,"AC";#N/A,#N/A,TRUE,"SN"}</definedName>
    <definedName name="jklgl" localSheetId="1" hidden="1">#REF!</definedName>
    <definedName name="jklgl" hidden="1">#REF!</definedName>
    <definedName name="K2404AC">'[35]D&amp;W_Accessories_Price'!$D$5</definedName>
    <definedName name="K2406AC">'[35]D&amp;W_Accessories_Price'!$D$6</definedName>
    <definedName name="KD" hidden="1">{#N/A,#N/A,TRUE,"SUM";#N/A,#N/A,TRUE,"EE";#N/A,#N/A,TRUE,"AC";#N/A,#N/A,TRUE,"SN"}</definedName>
    <definedName name="KGAC">'[35]D&amp;W_Accessories_Price'!$D$12</definedName>
    <definedName name="KGSS">'[35]D&amp;W_Accessories_Price'!$D$11</definedName>
    <definedName name="kjghl" localSheetId="1" hidden="1">#REF!</definedName>
    <definedName name="kjghl" hidden="1">#REF!</definedName>
    <definedName name="KKK" hidden="1">{#N/A,#N/A,TRUE,"SUM";#N/A,#N/A,TRUE,"EE";#N/A,#N/A,TRUE,"AC";#N/A,#N/A,TRUE,"SN"}</definedName>
    <definedName name="KOUNT" localSheetId="1">#REF!</definedName>
    <definedName name="KOUNT">#REF!</definedName>
    <definedName name="l" localSheetId="1">#REF!</definedName>
    <definedName name="l">#REF!</definedName>
    <definedName name="l___0" localSheetId="1">#REF!</definedName>
    <definedName name="l___0">#REF!</definedName>
    <definedName name="L_UNIT" localSheetId="1">#REF!</definedName>
    <definedName name="L_UNIT">#REF!</definedName>
    <definedName name="L1_" localSheetId="1">#REF!</definedName>
    <definedName name="L1_">#REF!</definedName>
    <definedName name="L1__15" localSheetId="1">#REF!</definedName>
    <definedName name="L1__15">#REF!</definedName>
    <definedName name="L2_" localSheetId="1">#REF!</definedName>
    <definedName name="L2_">#REF!</definedName>
    <definedName name="L2__15" localSheetId="1">#REF!</definedName>
    <definedName name="L2__15">#REF!</definedName>
    <definedName name="L5A">'[14]แบบ L'!$E$36</definedName>
    <definedName name="L5B">'[14]แบบ L'!$H$36</definedName>
    <definedName name="L5C">'[14]แบบ L'!$K$36</definedName>
    <definedName name="lady">"Picture 223"</definedName>
    <definedName name="Last_Row">#N/A</definedName>
    <definedName name="Last_Row___0">NA()</definedName>
    <definedName name="Last_Row___10">NA()</definedName>
    <definedName name="Last_Row___2">NA()</definedName>
    <definedName name="Last_Row___3">NA()</definedName>
    <definedName name="Last_Row___4">NA()</definedName>
    <definedName name="Last_Row___5">NA()</definedName>
    <definedName name="Last_Row___6">NA()</definedName>
    <definedName name="Last_Row___7">NA()</definedName>
    <definedName name="Last_Row___8">NA()</definedName>
    <definedName name="Last_Row___9">NA()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m" localSheetId="1" hidden="1">#REF!</definedName>
    <definedName name="m" hidden="1">#REF!</definedName>
    <definedName name="M_M" localSheetId="1">#REF!</definedName>
    <definedName name="M_M">#REF!</definedName>
    <definedName name="M_UNIT" localSheetId="1">#REF!</definedName>
    <definedName name="M_UNIT">#REF!</definedName>
    <definedName name="M1A">'[14]แบบ M'!$E$36</definedName>
    <definedName name="M1B">'[14]แบบ M'!$H$36</definedName>
    <definedName name="M1C">'[14]แบบ M'!$K$36</definedName>
    <definedName name="M2A">'[14]แบบ M'!$E$73</definedName>
    <definedName name="M2B">'[14]แบบ M'!$H$73</definedName>
    <definedName name="M2C">'[14]แบบ M'!$K$73</definedName>
    <definedName name="M3A">'[14]แบบ M'!$E$110</definedName>
    <definedName name="M3B">'[14]แบบ M'!$H$110</definedName>
    <definedName name="M3C">'[14]แบบ M'!$K$110</definedName>
    <definedName name="m4a">'[14]แบบ M'!$E$147</definedName>
    <definedName name="m4b">'[14]แบบ M'!$H$147</definedName>
    <definedName name="m4c">'[14]แบบ M'!$K$147</definedName>
    <definedName name="m5a">'[14]แบบ M'!$E$184</definedName>
    <definedName name="m5b">'[14]แบบ M'!$H$184</definedName>
    <definedName name="m5c">'[14]แบบ M'!$K$184</definedName>
    <definedName name="M6A">'[14]แบบ M'!$E$221</definedName>
    <definedName name="M6b">'[14]แบบ M'!$H$221</definedName>
    <definedName name="M6C">'[14]แบบ M'!$K$221</definedName>
    <definedName name="m7a">'[14]แบบ G'!$E$331</definedName>
    <definedName name="m7b">'[14]แบบ G'!$H$331</definedName>
    <definedName name="m7c">'[14]แบบ G'!$K$331</definedName>
    <definedName name="m8a">'[14]แบบ E'!$E$69</definedName>
    <definedName name="m8b">'[14]แบบ E'!$H$69</definedName>
    <definedName name="m8c">'[14]แบบ E'!$K$69</definedName>
    <definedName name="manhole" localSheetId="1">#REF!</definedName>
    <definedName name="manhole">#REF!</definedName>
    <definedName name="Matt_C">'[20]Main Summary'!$E$3</definedName>
    <definedName name="MATV" localSheetId="1">[22]boq!#REF!</definedName>
    <definedName name="MATV">[22]boq!#REF!</definedName>
    <definedName name="MATV1" localSheetId="1">[22]boq!#REF!</definedName>
    <definedName name="MATV1">[22]boq!#REF!</definedName>
    <definedName name="Meat" localSheetId="1">#REF!</definedName>
    <definedName name="Meat">#REF!</definedName>
    <definedName name="mechanicla" localSheetId="1">#REF!</definedName>
    <definedName name="mechanicla">#REF!</definedName>
    <definedName name="Meinhardt__Thailand__Ltd." localSheetId="1">#REF!</definedName>
    <definedName name="Meinhardt__Thailand__Ltd.">#REF!</definedName>
    <definedName name="Meinhardt__Thailand__Ltd.___0" localSheetId="1">#REF!</definedName>
    <definedName name="Meinhardt__Thailand__Ltd.___0">#REF!</definedName>
    <definedName name="Meinhardt__Thailand__Ltd_" localSheetId="1">#REF!</definedName>
    <definedName name="Meinhardt__Thailand__Ltd_">#REF!</definedName>
    <definedName name="Meinhardt__Thailand__Ltd____0" localSheetId="1">#REF!</definedName>
    <definedName name="Meinhardt__Thailand__Ltd____0">#REF!</definedName>
    <definedName name="MoreFruit" localSheetId="1">#REF!</definedName>
    <definedName name="MoreFruit">#REF!</definedName>
    <definedName name="MoreItem" localSheetId="1">#REF!</definedName>
    <definedName name="MoreItem">#REF!</definedName>
    <definedName name="MoreItems" localSheetId="1">#REF!</definedName>
    <definedName name="MoreItems">#REF!</definedName>
    <definedName name="moryyu" localSheetId="1" hidden="1">#REF!</definedName>
    <definedName name="moryyu" hidden="1">#REF!</definedName>
    <definedName name="mouym" localSheetId="1" hidden="1">#REF!</definedName>
    <definedName name="mouym" hidden="1">#REF!</definedName>
    <definedName name="MP" localSheetId="1">#REF!</definedName>
    <definedName name="MP">#REF!</definedName>
    <definedName name="mrtuom" localSheetId="1" hidden="1">#REF!</definedName>
    <definedName name="mrtuom" hidden="1">#REF!</definedName>
    <definedName name="mruiomr" localSheetId="1" hidden="1">#REF!</definedName>
    <definedName name="mruiomr" hidden="1">#REF!</definedName>
    <definedName name="mruo" localSheetId="1" hidden="1">#REF!</definedName>
    <definedName name="mruo" hidden="1">#REF!</definedName>
    <definedName name="myo" localSheetId="1" hidden="1">#REF!</definedName>
    <definedName name="myo" hidden="1">#REF!</definedName>
    <definedName name="myuom" hidden="1">{"'SUMMATION'!$B$2:$I$2"}</definedName>
    <definedName name="n" localSheetId="1" hidden="1">[31]FAB별!#REF!</definedName>
    <definedName name="n" hidden="1">[31]FAB별!#REF!</definedName>
    <definedName name="N1A">'[14]แบบ N'!$E$36</definedName>
    <definedName name="N1B">'[14]แบบ N'!$H$36</definedName>
    <definedName name="N1C">'[14]แบบ N'!$K$36</definedName>
    <definedName name="N2A">'[14]แบบ N'!$E$73</definedName>
    <definedName name="N2B">'[14]แบบ N'!$H$73</definedName>
    <definedName name="N2C">'[14]แบบ N'!$K$73</definedName>
    <definedName name="N3A">'[14]แบบ N'!$E$110</definedName>
    <definedName name="N3B">'[14]แบบ N'!$H$110</definedName>
    <definedName name="N3C">'[14]แบบ N'!$K$110</definedName>
    <definedName name="N4A">'[14]แบบ N'!$E$147</definedName>
    <definedName name="N4B">'[14]แบบ N'!$H$147</definedName>
    <definedName name="N4C">'[14]แบบ N'!$K$147</definedName>
    <definedName name="name" localSheetId="1">#REF!</definedName>
    <definedName name="name">#REF!</definedName>
    <definedName name="New" hidden="1">{#N/A,#N/A,TRUE,"Str.";#N/A,#N/A,TRUE,"Steel &amp; Roof";#N/A,#N/A,TRUE,"Arc.";#N/A,#N/A,TRUE,"Preliminary";#N/A,#N/A,TRUE,"Sum_Prelim"}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.3" localSheetId="1">#REF!</definedName>
    <definedName name="no.3">#REF!</definedName>
    <definedName name="no_3" localSheetId="1">#REF!</definedName>
    <definedName name="no_3">#REF!</definedName>
    <definedName name="nseryn" hidden="1">{#N/A,#N/A,TRUE,"SUM";#N/A,#N/A,TRUE,"EE";#N/A,#N/A,TRUE,"AC";#N/A,#N/A,TRUE,"SN"}</definedName>
    <definedName name="NSK243AC">'[35]D&amp;W_Accessories_Price'!$D$23</definedName>
    <definedName name="NSK243SS">'[35]D&amp;W_Accessories_Price'!$D$25</definedName>
    <definedName name="NSK3604SS">'[35]D&amp;W_Accessories_Price'!$D$3</definedName>
    <definedName name="NSK3606SS">'[35]D&amp;W_Accessories_Price'!$D$4</definedName>
    <definedName name="ntrruinn" hidden="1">{#N/A,#N/A,TRUE,"SUM";#N/A,#N/A,TRUE,"EE";#N/A,#N/A,TRUE,"AC";#N/A,#N/A,TRUE,"SN"}</definedName>
    <definedName name="nuertw" hidden="1">{#N/A,#N/A,TRUE,"SUM";#N/A,#N/A,TRUE,"EE";#N/A,#N/A,TRUE,"AC";#N/A,#N/A,TRUE,"SN"}</definedName>
    <definedName name="Num_Pmt_Per_Year" localSheetId="1">#REF!</definedName>
    <definedName name="Num_Pmt_Per_Year">#REF!</definedName>
    <definedName name="NUMBER" localSheetId="1">#REF!</definedName>
    <definedName name="NUMBER">#REF!</definedName>
    <definedName name="Number_of_Payments" localSheetId="1">MATCH(0.01,GPTemplate!End_Bal,-1)+1</definedName>
    <definedName name="Number_of_Payments">MATCH(0.01,End_Bal,-1)+1</definedName>
    <definedName name="Number_of_Payments___0" localSheetId="1">MATCH(0.01,GPTemplate!End_Bal,-1)+1</definedName>
    <definedName name="Number_of_Payments___0">MATCH(0.01,End_Bal,-1)+1</definedName>
    <definedName name="Number_of_Payments___10" localSheetId="1">MATCH(0.01,GPTemplate!End_Bal,-1)+1</definedName>
    <definedName name="Number_of_Payments___10">MATCH(0.01,End_Bal,-1)+1</definedName>
    <definedName name="Number_of_Payments___2" localSheetId="1">MATCH(0.01,GPTemplate!End_Bal,-1)+1</definedName>
    <definedName name="Number_of_Payments___2">MATCH(0.01,End_Bal,-1)+1</definedName>
    <definedName name="Number_of_Payments___3" localSheetId="1">MATCH(0.01,GPTemplate!End_Bal,-1)+1</definedName>
    <definedName name="Number_of_Payments___3">MATCH(0.01,End_Bal,-1)+1</definedName>
    <definedName name="Number_of_Payments___4" localSheetId="1">MATCH(0.01,GPTemplate!End_Bal,-1)+1</definedName>
    <definedName name="Number_of_Payments___4">MATCH(0.01,End_Bal,-1)+1</definedName>
    <definedName name="Number_of_Payments___5" localSheetId="1">MATCH(0.01,GPTemplate!End_Bal,-1)+1</definedName>
    <definedName name="Number_of_Payments___5">MATCH(0.01,End_Bal,-1)+1</definedName>
    <definedName name="Number_of_Payments___6" localSheetId="1">MATCH(0.01,GPTemplate!End_Bal,-1)+1</definedName>
    <definedName name="Number_of_Payments___6">MATCH(0.01,End_Bal,-1)+1</definedName>
    <definedName name="Number_of_Payments___7" localSheetId="1">MATCH(0.01,GPTemplate!End_Bal,-1)+1</definedName>
    <definedName name="Number_of_Payments___7">MATCH(0.01,End_Bal,-1)+1</definedName>
    <definedName name="Number_of_Payments___8" localSheetId="1">MATCH(0.01,GPTemplate!End_Bal,-1)+1</definedName>
    <definedName name="Number_of_Payments___8">MATCH(0.01,End_Bal,-1)+1</definedName>
    <definedName name="Number_of_Payments___9" localSheetId="1">MATCH(0.01,GPTemplate!End_Bal,-1)+1</definedName>
    <definedName name="Number_of_Payments___9">MATCH(0.01,End_Bal,-1)+1</definedName>
    <definedName name="nw" localSheetId="1" hidden="1">#REF!</definedName>
    <definedName name="nw" hidden="1">#REF!</definedName>
    <definedName name="nwunwi" localSheetId="1" hidden="1">#REF!</definedName>
    <definedName name="nwunwi" hidden="1">#REF!</definedName>
    <definedName name="O" localSheetId="1">#REF!</definedName>
    <definedName name="O">#REF!</definedName>
    <definedName name="ODH" localSheetId="1" hidden="1">[19]산근!#REF!</definedName>
    <definedName name="ODH" hidden="1">[19]산근!#REF!</definedName>
    <definedName name="om" localSheetId="1" hidden="1">#REF!</definedName>
    <definedName name="om" hidden="1">#REF!</definedName>
    <definedName name="ommuip" hidden="1">{#N/A,#N/A,TRUE,"SUM";#N/A,#N/A,TRUE,"EE";#N/A,#N/A,TRUE,"AC";#N/A,#N/A,TRUE,"SN"}</definedName>
    <definedName name="omruo" localSheetId="1" hidden="1">#REF!</definedName>
    <definedName name="omruo" hidden="1">#REF!</definedName>
    <definedName name="ooyu" localSheetId="1" hidden="1">#REF!</definedName>
    <definedName name="ooyu" hidden="1">#REF!</definedName>
    <definedName name="op" localSheetId="1">#REF!</definedName>
    <definedName name="op">#REF!</definedName>
    <definedName name="ot" localSheetId="1" hidden="1">#REF!</definedName>
    <definedName name="ot" hidden="1">#REF!</definedName>
    <definedName name="otm" localSheetId="1" hidden="1">#REF!</definedName>
    <definedName name="otm" hidden="1">#REF!</definedName>
    <definedName name="Out" localSheetId="1">#REF!</definedName>
    <definedName name="Out">#REF!</definedName>
    <definedName name="P" localSheetId="1">#REF!</definedName>
    <definedName name="P">#REF!</definedName>
    <definedName name="P_CONV_L" localSheetId="1">[12]สรุป_EMC!#REF!</definedName>
    <definedName name="P_CONV_L">[12]สรุป_EMC!#REF!</definedName>
    <definedName name="P_CONV_M" localSheetId="1">[12]สรุป_EMC!#REF!</definedName>
    <definedName name="P_CONV_M">[12]สรุป_EMC!#REF!</definedName>
    <definedName name="P_RUNG_L" localSheetId="1">#REF!</definedName>
    <definedName name="P_RUNG_L">#REF!</definedName>
    <definedName name="P_RUNG_M" localSheetId="1">#REF!</definedName>
    <definedName name="P_RUNG_M">#REF!</definedName>
    <definedName name="P_RUNG_Q" localSheetId="1">#REF!</definedName>
    <definedName name="P_RUNG_Q">#REF!</definedName>
    <definedName name="P1A">'[14]แบบ P'!$E$36</definedName>
    <definedName name="P1B">'[14]แบบ P'!$H$36</definedName>
    <definedName name="P1C">'[14]แบบ P'!$K$36</definedName>
    <definedName name="P2A">'[14]แบบ P'!$E$73</definedName>
    <definedName name="P2B">'[14]แบบ P'!$H$73</definedName>
    <definedName name="P2C">'[14]แบบ P'!$K$73</definedName>
    <definedName name="P3A">'[14]แบบ P'!$E$110</definedName>
    <definedName name="P3B">'[14]แบบ P'!$H$110</definedName>
    <definedName name="P3C">'[14]แบบ P'!$K$110</definedName>
    <definedName name="Panel" hidden="1">{#N/A,#N/A,TRUE,"SUM";#N/A,#N/A,TRUE,"EE";#N/A,#N/A,TRUE,"AC";#N/A,#N/A,TRUE,"SN"}</definedName>
    <definedName name="PART" localSheetId="1">[36]Sheet1!#REF!</definedName>
    <definedName name="PART">[36]Sheet1!#REF!</definedName>
    <definedName name="Pay_Date" localSheetId="1">#REF!</definedName>
    <definedName name="Pay_Date">#REF!</definedName>
    <definedName name="Pay_Num" localSheetId="1">#REF!</definedName>
    <definedName name="Pay_Num">#REF!</definedName>
    <definedName name="Payment_Date" localSheetId="1">DATE(YEAR(GPTemplate!Loan_Start),MONTH(GPTemplate!Loan_Start)+GPTemplate!Number_of_Payments___8,DAY(GPTemplate!Loan_Start))</definedName>
    <definedName name="Payment_Date">DATE(YEAR(Loan_Start),MONTH(Loan_Start)+Number_of_Payments___8,DAY(Loan_Start))</definedName>
    <definedName name="Payment_Date___0" localSheetId="1">DATE(YEAR(GPTemplate!Loan_Start),MONTH(GPTemplate!Loan_Start)+GPTemplate!Number_of_Payments___8,DAY(GPTemplate!Loan_Start))</definedName>
    <definedName name="Payment_Date___0">DATE(YEAR(Loan_Start),MONTH(Loan_Start)+Number_of_Payments___8,DAY(Loan_Start))</definedName>
    <definedName name="Payment_Date___10" localSheetId="1">DATE(YEAR(GPTemplate!Loan_Start),MONTH(GPTemplate!Loan_Start)+GPTemplate!Number_of_Payments___8,DAY(GPTemplate!Loan_Start))</definedName>
    <definedName name="Payment_Date___10">DATE(YEAR(Loan_Start),MONTH(Loan_Start)+Number_of_Payments___8,DAY(Loan_Start))</definedName>
    <definedName name="Payment_Date___2" localSheetId="1">DATE(YEAR(GPTemplate!Loan_Start),MONTH(GPTemplate!Loan_Start)+GPTemplate!Number_of_Payments___8,DAY(GPTemplate!Loan_Start))</definedName>
    <definedName name="Payment_Date___2">DATE(YEAR(Loan_Start),MONTH(Loan_Start)+Number_of_Payments___8,DAY(Loan_Start))</definedName>
    <definedName name="Payment_Date___3" localSheetId="1">DATE(YEAR(GPTemplate!Loan_Start),MONTH(GPTemplate!Loan_Start)+GPTemplate!Number_of_Payments___8,DAY(GPTemplate!Loan_Start))</definedName>
    <definedName name="Payment_Date___3">DATE(YEAR(Loan_Start),MONTH(Loan_Start)+Number_of_Payments___8,DAY(Loan_Start))</definedName>
    <definedName name="Payment_Date___4" localSheetId="1">DATE(YEAR(GPTemplate!Loan_Start),MONTH(GPTemplate!Loan_Start)+GPTemplate!Number_of_Payments___8,DAY(GPTemplate!Loan_Start))</definedName>
    <definedName name="Payment_Date___4">DATE(YEAR(Loan_Start),MONTH(Loan_Start)+Number_of_Payments___8,DAY(Loan_Start))</definedName>
    <definedName name="Payment_Date___5" localSheetId="1">DATE(YEAR(GPTemplate!Loan_Start),MONTH(GPTemplate!Loan_Start)+GPTemplate!Number_of_Payments___8,DAY(GPTemplate!Loan_Start))</definedName>
    <definedName name="Payment_Date___5">DATE(YEAR(Loan_Start),MONTH(Loan_Start)+Number_of_Payments___8,DAY(Loan_Start))</definedName>
    <definedName name="Payment_Date___6" localSheetId="1">DATE(YEAR(GPTemplate!Loan_Start),MONTH(GPTemplate!Loan_Start)+GPTemplate!Number_of_Payments___8,DAY(GPTemplate!Loan_Start))</definedName>
    <definedName name="Payment_Date___6">DATE(YEAR(Loan_Start),MONTH(Loan_Start)+Number_of_Payments___8,DAY(Loan_Start))</definedName>
    <definedName name="Payment_Date___7" localSheetId="1">DATE(YEAR(GPTemplate!Loan_Start),MONTH(GPTemplate!Loan_Start)+GPTemplate!Number_of_Payments___8,DAY(GPTemplate!Loan_Start))</definedName>
    <definedName name="Payment_Date___7">DATE(YEAR(Loan_Start),MONTH(Loan_Start)+Number_of_Payments___8,DAY(Loan_Start))</definedName>
    <definedName name="Payment_Date___8" localSheetId="1">DATE(YEAR(GPTemplate!Loan_Start),MONTH(GPTemplate!Loan_Start)+GPTemplate!Number_of_Payments___8,DAY(GPTemplate!Loan_Start))</definedName>
    <definedName name="Payment_Date___8">DATE(YEAR(Loan_Start),MONTH(Loan_Start)+Number_of_Payments___8,DAY(Loan_Start))</definedName>
    <definedName name="Payment_Date___9" localSheetId="1">DATE(YEAR(GPTemplate!Loan_Start),MONTH(GPTemplate!Loan_Start)+GPTemplate!Number_of_Payments___8,DAY(GPTemplate!Loan_Start))</definedName>
    <definedName name="Payment_Date___9">DATE(YEAR(Loan_Start),MONTH(Loan_Start)+Number_of_Payments___8,DAY(Loan_Start))</definedName>
    <definedName name="PHOTO" localSheetId="1" hidden="1">[34]FAB별!#REF!</definedName>
    <definedName name="PHOTO" hidden="1">[34]FAB별!#REF!</definedName>
    <definedName name="PIPEGRIDE">[37]UNIT!$C$18</definedName>
    <definedName name="plan2_คิดเงิน2_List" localSheetId="1">#REF!</definedName>
    <definedName name="plan2_คิดเงิน2_List">#REF!</definedName>
    <definedName name="plant">[38]WI!$A$1:$N$79</definedName>
    <definedName name="PP" localSheetId="1">#REF!</definedName>
    <definedName name="PP">#REF!</definedName>
    <definedName name="pri" hidden="1">{#N/A,#N/A,TRUE,"Str.";#N/A,#N/A,TRUE,"Steel &amp; Roof";#N/A,#N/A,TRUE,"Arc.";#N/A,#N/A,TRUE,"Preliminary";#N/A,#N/A,TRUE,"Sum_Prelim"}</definedName>
    <definedName name="Princ" localSheetId="1">#REF!</definedName>
    <definedName name="Princ">#REF!</definedName>
    <definedName name="PRINT" localSheetId="1">#REF!</definedName>
    <definedName name="PRINT">#REF!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int_Area_MI___0" localSheetId="1">#REF!</definedName>
    <definedName name="Print_Area_MI___0">#REF!</definedName>
    <definedName name="Print_Area_MI___4" localSheetId="1">#REF!</definedName>
    <definedName name="Print_Area_MI___4">#REF!</definedName>
    <definedName name="Print_Area_Reset" localSheetId="1">OFFSET(GPTemplate!Full_Print,0,0,[0]!Last_Row)</definedName>
    <definedName name="Print_Area_Reset">OFFSET(Full_Print,0,0,Last_Row)</definedName>
    <definedName name="Print_Area_Reset___0" localSheetId="1">OFFSET(GPTemplate!Full_Print,0,0,[0]!Last_Row___0)</definedName>
    <definedName name="Print_Area_Reset___0">OFFSET(Full_Print,0,0,Last_Row___0)</definedName>
    <definedName name="Print_Area_Reset___10" localSheetId="1">OFFSET(GPTemplate!Full_Print,0,0,[0]!Last_Row___10)</definedName>
    <definedName name="Print_Area_Reset___10">OFFSET(Full_Print,0,0,Last_Row___10)</definedName>
    <definedName name="Print_Area_Reset___2" localSheetId="1">OFFSET(GPTemplate!Full_Print,0,0,[0]!Last_Row___2)</definedName>
    <definedName name="Print_Area_Reset___2">OFFSET(Full_Print,0,0,Last_Row___2)</definedName>
    <definedName name="Print_Area_Reset___3" localSheetId="1">OFFSET(GPTemplate!Full_Print,0,0,[0]!Last_Row___3)</definedName>
    <definedName name="Print_Area_Reset___3">OFFSET(Full_Print,0,0,Last_Row___3)</definedName>
    <definedName name="Print_Area_Reset___4" localSheetId="1">OFFSET(GPTemplate!Full_Print,0,0,[0]!Last_Row___4)</definedName>
    <definedName name="Print_Area_Reset___4">OFFSET(Full_Print,0,0,Last_Row___4)</definedName>
    <definedName name="Print_Area_Reset___5" localSheetId="1">OFFSET(GPTemplate!Full_Print,0,0,[0]!Last_Row___5)</definedName>
    <definedName name="Print_Area_Reset___5">OFFSET(Full_Print,0,0,Last_Row___5)</definedName>
    <definedName name="Print_Area_Reset___6" localSheetId="1">OFFSET(GPTemplate!Full_Print,0,0,[0]!Last_Row___6)</definedName>
    <definedName name="Print_Area_Reset___6">OFFSET(Full_Print,0,0,Last_Row___6)</definedName>
    <definedName name="Print_Area_Reset___7" localSheetId="1">OFFSET(GPTemplate!Full_Print,0,0,[0]!Last_Row___7)</definedName>
    <definedName name="Print_Area_Reset___7">OFFSET(Full_Print,0,0,Last_Row___7)</definedName>
    <definedName name="Print_Area_Reset___8" localSheetId="1">OFFSET(GPTemplate!Full_Print,0,0,[0]!Last_Row___8)</definedName>
    <definedName name="Print_Area_Reset___8">OFFSET(Full_Print,0,0,Last_Row___8)</definedName>
    <definedName name="Print_Area_Reset___9" localSheetId="1">OFFSET(GPTemplate!Full_Print,0,0,[0]!Last_Row___9)</definedName>
    <definedName name="Print_Area_Reset___9">OFFSET(Full_Print,0,0,Last_Row___9)</definedName>
    <definedName name="_xlnm.Print_Titles">[30]splinkler!$A$1:$IV$6</definedName>
    <definedName name="Print_Titles_MI" localSheetId="1">#REF!</definedName>
    <definedName name="Print_Titles_MI">#REF!</definedName>
    <definedName name="Print_Titles_MI___4" localSheetId="1">#REF!</definedName>
    <definedName name="Print_Titles_MI___4">#REF!</definedName>
    <definedName name="PROJECT_NAME____Capsugel_Relocation_Project" localSheetId="1">#REF!</definedName>
    <definedName name="PROJECT_NAME____Capsugel_Relocation_Project">#REF!</definedName>
    <definedName name="PROJECT_NAME____Capsugel_Relocation_Project___0" localSheetId="1">#REF!</definedName>
    <definedName name="PROJECT_NAME____Capsugel_Relocation_Project___0">#REF!</definedName>
    <definedName name="ProjNo." localSheetId="1">#REF!</definedName>
    <definedName name="ProjNo.">#REF!</definedName>
    <definedName name="ProjNo_" localSheetId="1">#REF!</definedName>
    <definedName name="ProjNo_">#REF!</definedName>
    <definedName name="Q" localSheetId="1">#REF!</definedName>
    <definedName name="Q">#REF!</definedName>
    <definedName name="q_ty" localSheetId="1">#REF!</definedName>
    <definedName name="q_ty">#REF!</definedName>
    <definedName name="QQQ" hidden="1">{#N/A,#N/A,TRUE,"SUM";#N/A,#N/A,TRUE,"EE";#N/A,#N/A,TRUE,"AC";#N/A,#N/A,TRUE,"SN"}</definedName>
    <definedName name="qqqqqq" localSheetId="1">#REF!</definedName>
    <definedName name="qqqqqq">#REF!</definedName>
    <definedName name="qty" localSheetId="1">#REF!</definedName>
    <definedName name="qty">#REF!</definedName>
    <definedName name="qty___0" localSheetId="1">#REF!</definedName>
    <definedName name="qty___0">#REF!</definedName>
    <definedName name="R_UNIT" localSheetId="1">#REF!</definedName>
    <definedName name="R_UNIT">#REF!</definedName>
    <definedName name="resource">'[39]Bill No. 2 - Carpark'!$A$1:$C$97</definedName>
    <definedName name="ResPricing" localSheetId="1">#REF!</definedName>
    <definedName name="ResPricing">#REF!</definedName>
    <definedName name="ret" hidden="1">{"SUM",#N/A,FALSE,"summary";"BOOK11-1",#N/A,FALSE,"1CityGarden";"BOOK11-2",#N/A,FALSE,"2CountryGarden";"BOOK11-3",#N/A,FALSE,"3JUNGLE";"BOOK11-4CIVIL",#N/A,FALSE,"CIVIL"}</definedName>
    <definedName name="rewv" hidden="1">{#N/A,#N/A,TRUE,"SUM";#N/A,#N/A,TRUE,"EE";#N/A,#N/A,TRUE,"AC";#N/A,#N/A,TRUE,"SN"}</definedName>
    <definedName name="Rf" localSheetId="1">#REF!</definedName>
    <definedName name="Rf">#REF!</definedName>
    <definedName name="rirt" localSheetId="1" hidden="1">#REF!</definedName>
    <definedName name="rirt" hidden="1">#REF!</definedName>
    <definedName name="rmoumo" hidden="1">{#N/A,#N/A,TRUE,"SUM";#N/A,#N/A,TRUE,"EE";#N/A,#N/A,TRUE,"AC";#N/A,#N/A,TRUE,"SN"}</definedName>
    <definedName name="RNAME" localSheetId="1">#REF!</definedName>
    <definedName name="RNAME">#REF!</definedName>
    <definedName name="ROUND" localSheetId="1">#REF!</definedName>
    <definedName name="ROUND">#REF!</definedName>
    <definedName name="rtm" hidden="1">{#N/A,#N/A,TRUE,"Str.";#N/A,#N/A,TRUE,"Steel &amp; Roof";#N/A,#N/A,TRUE,"Arc.";#N/A,#N/A,TRUE,"Preliminary";#N/A,#N/A,TRUE,"Sum_Prelim"}</definedName>
    <definedName name="rtrteurtu" localSheetId="1" hidden="1">#REF!</definedName>
    <definedName name="rtrteurtu" hidden="1">#REF!</definedName>
    <definedName name="rtudrt" localSheetId="1" hidden="1">#REF!</definedName>
    <definedName name="rtudrt" hidden="1">#REF!</definedName>
    <definedName name="rtv" localSheetId="1" hidden="1">[4]tifico!#REF!</definedName>
    <definedName name="rtv" hidden="1">[4]tifico!#REF!</definedName>
    <definedName name="ru" localSheetId="1" hidden="1">[19]산근!#REF!</definedName>
    <definedName name="ru" hidden="1">[19]산근!#REF!</definedName>
    <definedName name="rwevq" localSheetId="1" hidden="1">[40]CABLE!#REF!</definedName>
    <definedName name="rwevq" hidden="1">[40]CABLE!#REF!</definedName>
    <definedName name="s" localSheetId="1">#REF!</definedName>
    <definedName name="s">#REF!</definedName>
    <definedName name="s___0" localSheetId="1">#REF!</definedName>
    <definedName name="s___0">#REF!</definedName>
    <definedName name="S_CONV_L" localSheetId="1">[12]สรุป_EMC!#REF!</definedName>
    <definedName name="S_CONV_L">[12]สรุป_EMC!#REF!</definedName>
    <definedName name="S_CONV_M" localSheetId="1">[12]สรุป_EMC!#REF!</definedName>
    <definedName name="S_CONV_M">[12]สรุป_EMC!#REF!</definedName>
    <definedName name="S_Island_L">'[41]SS (ST&amp;AR)'!$K$10</definedName>
    <definedName name="S_Island_M">'[41]SS (ST&amp;AR)'!$L$10</definedName>
    <definedName name="S_Island_Q">'[41]SS (ST&amp;AR)'!$M$10</definedName>
    <definedName name="S_MAL_L">[13]Sum_EMC!$O$7</definedName>
    <definedName name="S_MAL_M">[13]Sum_EMC!$N$7</definedName>
    <definedName name="S_RUNG_L" localSheetId="1">#REF!</definedName>
    <definedName name="S_RUNG_L">#REF!</definedName>
    <definedName name="S_RUNG_M" localSheetId="1">#REF!</definedName>
    <definedName name="S_RUNG_M">#REF!</definedName>
    <definedName name="S_RUNG_Q" localSheetId="1">#REF!</definedName>
    <definedName name="S_RUNG_Q">#REF!</definedName>
    <definedName name="S3A">'[14]แบบ S'!$E$36</definedName>
    <definedName name="S3B">'[14]แบบ S'!$H$36</definedName>
    <definedName name="S3C">'[14]แบบ S'!$K$36</definedName>
    <definedName name="sa" hidden="1">{#N/A,#N/A,TRUE,"Str.";#N/A,#N/A,TRUE,"Steel &amp; Roof";#N/A,#N/A,TRUE,"Arc.";#N/A,#N/A,TRUE,"Preliminary";#N/A,#N/A,TRUE,"Sum_Prelim"}</definedName>
    <definedName name="sadaasd" localSheetId="1" hidden="1">[42]FAB별!#REF!</definedName>
    <definedName name="sadaasd" hidden="1">[42]FAB별!#REF!</definedName>
    <definedName name="sadsa" localSheetId="1">#REF!</definedName>
    <definedName name="sadsa">#REF!</definedName>
    <definedName name="safdsafsafsafsadfsdkfnsadjhgfasdfhsdahjfsdfpdksdpafasddfsdfsdsfdsfdfsds" localSheetId="1">#REF!</definedName>
    <definedName name="safdsafsafsafsadfsdkfnsadjhgfasdfhsdahjfsdfpdksdpafasddfsdfsdsfdsfdfsds">#REF!</definedName>
    <definedName name="SAM" localSheetId="1">#REF!</definedName>
    <definedName name="SAM">#REF!</definedName>
    <definedName name="SAVE" localSheetId="1">#REF!</definedName>
    <definedName name="SAVE">#REF!</definedName>
    <definedName name="saXD" hidden="1">{#N/A,#N/A,TRUE,"Str.";#N/A,#N/A,TRUE,"Steel &amp; Roof";#N/A,#N/A,TRUE,"Arc.";#N/A,#N/A,TRUE,"Preliminary";#N/A,#N/A,TRUE,"Sum_Prelim"}</definedName>
    <definedName name="SCE" localSheetId="1">#REF!</definedName>
    <definedName name="SCE">#REF!</definedName>
    <definedName name="Sched_Pay" localSheetId="1">#REF!</definedName>
    <definedName name="Sched_Pay">#REF!</definedName>
    <definedName name="Scheduled_Extra_Payments" localSheetId="1">#REF!</definedName>
    <definedName name="Scheduled_Extra_Payments">#REF!</definedName>
    <definedName name="Scheduled_Interest_Rate" localSheetId="1">#REF!</definedName>
    <definedName name="Scheduled_Interest_Rate">#REF!</definedName>
    <definedName name="Scheduled_Monthly_Payment" localSheetId="1">#REF!</definedName>
    <definedName name="Scheduled_Monthly_Payment">#REF!</definedName>
    <definedName name="SD" hidden="1">{#N/A,#N/A,TRUE,"Str.";#N/A,#N/A,TRUE,"Steel &amp; Roof";#N/A,#N/A,TRUE,"Arc.";#N/A,#N/A,TRUE,"Preliminary";#N/A,#N/A,TRUE,"Sum_Prelim"}</definedName>
    <definedName name="SD16CC10100">'[43]Elec_Square D'!$F$28</definedName>
    <definedName name="SD16CC13100">'[43]Elec_Square D'!$F$27</definedName>
    <definedName name="sdagfdsagfadsgfdsafgiudsifjsdifjsdafjadsfjdjfddfkasdsdfsfedfdsdffssdffsdafsdasfd" localSheetId="1">#REF!</definedName>
    <definedName name="sdagfdsagfadsgfdsafgiudsifjsdifjsdafjadsfjdjfddfkasdsdfsfedfdsdffssdffsdafsdasfd">#REF!</definedName>
    <definedName name="sdsgdsga" localSheetId="1" hidden="1">#REF!</definedName>
    <definedName name="sdsgdsga" hidden="1">#REF!</definedName>
    <definedName name="sf" localSheetId="1">#REF!</definedName>
    <definedName name="sf">#REF!</definedName>
    <definedName name="sfjsdkfjadjfadsfjasfjasdkfjas" localSheetId="1">#REF!</definedName>
    <definedName name="sfjsdkfjadjfadsfjasfjasdkfjas">#REF!</definedName>
    <definedName name="sgsgd" localSheetId="1" hidden="1">[40]CABLE!#REF!</definedName>
    <definedName name="sgsgd" hidden="1">[40]CABLE!#REF!</definedName>
    <definedName name="shdshdshd" localSheetId="1" hidden="1">[7]DETAIL!#REF!</definedName>
    <definedName name="shdshdshd" hidden="1">[7]DETAIL!#REF!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NO">[44]sheetNO!$A$1:$C$6</definedName>
    <definedName name="sj" hidden="1">{#N/A,#N/A,TRUE,"Str.";#N/A,#N/A,TRUE,"Steel &amp; Roof";#N/A,#N/A,TRUE,"Arc.";#N/A,#N/A,TRUE,"Preliminary";#N/A,#N/A,TRUE,"Sum_Prelim"}</definedName>
    <definedName name="SL9210AC">'[35]D&amp;W_Accessories_Price'!$D$17</definedName>
    <definedName name="SL9210DAC">'[35]D&amp;W_Accessories_Price'!$D$19</definedName>
    <definedName name="SL9210SS">'[35]D&amp;W_Accessories_Price'!$D$18</definedName>
    <definedName name="slab" localSheetId="1">#REF!</definedName>
    <definedName name="slab">#REF!</definedName>
    <definedName name="slablayer1" localSheetId="1">#REF!</definedName>
    <definedName name="slablayer1">#REF!</definedName>
    <definedName name="sm" localSheetId="1" hidden="1">#REF!</definedName>
    <definedName name="sm" hidden="1">#REF!</definedName>
    <definedName name="SN" localSheetId="1">#REF!</definedName>
    <definedName name="SN">#REF!</definedName>
    <definedName name="sn_ad">1</definedName>
    <definedName name="sn_av">1</definedName>
    <definedName name="so" hidden="1">{#N/A,#N/A,TRUE,"SUM";#N/A,#N/A,TRUE,"EE";#N/A,#N/A,TRUE,"AC";#N/A,#N/A,TRUE,"SN"}</definedName>
    <definedName name="som" localSheetId="1">#REF!</definedName>
    <definedName name="som">#REF!</definedName>
    <definedName name="ss">NA()</definedName>
    <definedName name="ss___0">NA()</definedName>
    <definedName name="ss___10">NA()</definedName>
    <definedName name="ss___2">NA()</definedName>
    <definedName name="ss___3">NA()</definedName>
    <definedName name="ss___4">NA()</definedName>
    <definedName name="ss___5">NA()</definedName>
    <definedName name="ss___6">NA()</definedName>
    <definedName name="ss___7">NA()</definedName>
    <definedName name="ss___8">NA()</definedName>
    <definedName name="ss___9">NA()</definedName>
    <definedName name="sss" localSheetId="1">#REF!</definedName>
    <definedName name="sss">#REF!</definedName>
    <definedName name="ST_RUNG_L" localSheetId="1">#REF!</definedName>
    <definedName name="ST_RUNG_L">#REF!</definedName>
    <definedName name="ST_RUNG_M" localSheetId="1">#REF!</definedName>
    <definedName name="ST_RUNG_M">#REF!</definedName>
    <definedName name="ST_RUNG_Q" localSheetId="1">#REF!</definedName>
    <definedName name="ST_RUNG_Q">#REF!</definedName>
    <definedName name="ST41TW" localSheetId="1">#REF!</definedName>
    <definedName name="ST41TW">#REF!</definedName>
    <definedName name="START2" localSheetId="1">#REF!</definedName>
    <definedName name="START2">#REF!</definedName>
    <definedName name="str" localSheetId="1">#REF!</definedName>
    <definedName name="str">#REF!</definedName>
    <definedName name="STR_M" localSheetId="1">#REF!</definedName>
    <definedName name="STR_M">#REF!</definedName>
    <definedName name="STRU_LAB">[17]ใบสรุปราคา!$N$16</definedName>
    <definedName name="STRU_MAT">[17]ใบสรุปราคา!$M$16</definedName>
    <definedName name="sum" hidden="1">{#N/A,#N/A,TRUE,"SUM";#N/A,#N/A,TRUE,"EE";#N/A,#N/A,TRUE,"AC";#N/A,#N/A,TRUE,"SN"}</definedName>
    <definedName name="SUMExtraCredit" localSheetId="1">#REF!</definedName>
    <definedName name="SUMExtraCredit">#REF!</definedName>
    <definedName name="SUMIF" localSheetId="1">#REF!</definedName>
    <definedName name="SUMIF">#REF!</definedName>
    <definedName name="SUMIFExtraCredit" localSheetId="1">#REF!</definedName>
    <definedName name="SUMIFExtraCredit">#REF!</definedName>
    <definedName name="summ10" localSheetId="1">#REF!</definedName>
    <definedName name="summ10">#REF!</definedName>
    <definedName name="summ11" localSheetId="1">#REF!</definedName>
    <definedName name="summ11">#REF!</definedName>
    <definedName name="summ12" localSheetId="1">#REF!</definedName>
    <definedName name="summ12">#REF!</definedName>
    <definedName name="summ2" localSheetId="1">#REF!</definedName>
    <definedName name="summ2">#REF!</definedName>
    <definedName name="summ3" localSheetId="1">#REF!</definedName>
    <definedName name="summ3">#REF!</definedName>
    <definedName name="summ5">'[45]EST-FOOTING (G)'!$A$1:$F$65536,'[45]EST-FOOTING (G)'!$A$1:$IV$7</definedName>
    <definedName name="summ8" localSheetId="1">#REF!</definedName>
    <definedName name="summ8">#REF!</definedName>
    <definedName name="summ9" localSheetId="1">#REF!</definedName>
    <definedName name="summ9">#REF!</definedName>
    <definedName name="summar" hidden="1">{#N/A,#N/A,TRUE,"SUM";#N/A,#N/A,TRUE,"EE";#N/A,#N/A,TRUE,"AC";#N/A,#N/A,TRUE,"SN"}</definedName>
    <definedName name="summary" localSheetId="1">#REF!</definedName>
    <definedName name="summary">#REF!</definedName>
    <definedName name="sv" localSheetId="1" hidden="1">[5]FR!#REF!</definedName>
    <definedName name="sv" hidden="1">[5]FR!#REF!</definedName>
    <definedName name="szafsdfsd" localSheetId="1">#REF!</definedName>
    <definedName name="szafsdfsd">#REF!</definedName>
    <definedName name="t" hidden="1">{#N/A,#N/A,TRUE,"Str.";#N/A,#N/A,TRUE,"Steel &amp; Roof";#N/A,#N/A,TRUE,"Arc.";#N/A,#N/A,TRUE,"Preliminary";#N/A,#N/A,TRUE,"Sum_Prelim"}</definedName>
    <definedName name="T.">#N/A</definedName>
    <definedName name="T_">#N/A</definedName>
    <definedName name="T_CONV_L" localSheetId="1">[12]สรุป_EMC!#REF!</definedName>
    <definedName name="T_CONV_L">[12]สรุป_EMC!#REF!</definedName>
    <definedName name="T_CONV_M" localSheetId="1">[12]สรุป_EMC!#REF!</definedName>
    <definedName name="T_CONV_M">[12]สรุป_EMC!#REF!</definedName>
    <definedName name="T1A">'[14]แบบ T'!$E$36</definedName>
    <definedName name="T1B">'[14]แบบ T'!$H$36</definedName>
    <definedName name="T1C">'[14]แบบ T'!$K$36</definedName>
    <definedName name="T2A">'[14]แบบ T'!$E$73</definedName>
    <definedName name="T2B">'[14]แบบ T'!$H$73</definedName>
    <definedName name="T2C">'[14]แบบ T'!$K$73</definedName>
    <definedName name="Termite">'[20]Main Summary'!$F$2</definedName>
    <definedName name="TLH">'[46]SH-E'!$C$1:$G$600</definedName>
    <definedName name="TN" localSheetId="1">#REF!</definedName>
    <definedName name="TN">#REF!</definedName>
    <definedName name="TOTAL" localSheetId="1">#REF!</definedName>
    <definedName name="TOTAL">#REF!</definedName>
    <definedName name="Total_Interest" localSheetId="1">#REF!</definedName>
    <definedName name="Total_Interest">#REF!</definedName>
    <definedName name="total_lab" localSheetId="1">#REF!</definedName>
    <definedName name="total_lab">#REF!</definedName>
    <definedName name="total_mat" localSheetId="1">#REF!</definedName>
    <definedName name="total_mat">#REF!</definedName>
    <definedName name="Total_Pay" localSheetId="1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Total_Payment___0" localSheetId="1">Scheduled_Payment+Extra_Payment</definedName>
    <definedName name="Total_Payment___0">Scheduled_Payment+Extra_Payment</definedName>
    <definedName name="Total_Payment___10" localSheetId="1">Scheduled_Payment+Extra_Payment</definedName>
    <definedName name="Total_Payment___10">Scheduled_Payment+Extra_Payment</definedName>
    <definedName name="Total_Payment___2" localSheetId="1">Scheduled_Payment+Extra_Payment</definedName>
    <definedName name="Total_Payment___2">Scheduled_Payment+Extra_Payment</definedName>
    <definedName name="Total_Payment___3" localSheetId="1">Scheduled_Payment+Extra_Payment</definedName>
    <definedName name="Total_Payment___3">Scheduled_Payment+Extra_Payment</definedName>
    <definedName name="Total_Payment___4" localSheetId="1">Scheduled_Payment+Extra_Payment</definedName>
    <definedName name="Total_Payment___4">Scheduled_Payment+Extra_Payment</definedName>
    <definedName name="Total_Payment___5" localSheetId="1">Scheduled_Payment+Extra_Payment</definedName>
    <definedName name="Total_Payment___5">Scheduled_Payment+Extra_Payment</definedName>
    <definedName name="Total_Payment___6" localSheetId="1">Scheduled_Payment+Extra_Payment</definedName>
    <definedName name="Total_Payment___6">Scheduled_Payment+Extra_Payment</definedName>
    <definedName name="Total_Payment___7" localSheetId="1">Scheduled_Payment+Extra_Payment</definedName>
    <definedName name="Total_Payment___7">Scheduled_Payment+Extra_Payment</definedName>
    <definedName name="Total_Payment___8" localSheetId="1">Scheduled_Payment+Extra_Payment</definedName>
    <definedName name="Total_Payment___8">Scheduled_Payment+Extra_Payment</definedName>
    <definedName name="Total_Payment___9" localSheetId="1">Scheduled_Payment+Extra_Payment</definedName>
    <definedName name="Total_Payment___9">Scheduled_Payment+Extra_Payment</definedName>
    <definedName name="total2" localSheetId="1">#REF!</definedName>
    <definedName name="total2">#REF!</definedName>
    <definedName name="Total3" localSheetId="1">#REF!</definedName>
    <definedName name="Total3">#REF!</definedName>
    <definedName name="tp0a">'[14]แบบ TP'!$E$36</definedName>
    <definedName name="tp0b">'[14]แบบ TP'!$H$36</definedName>
    <definedName name="tp0c">'[14]แบบ TP'!$K$36</definedName>
    <definedName name="tp1a">'[14]แบบ TP'!$E$73</definedName>
    <definedName name="tp1b">'[14]แบบ TP'!$H$73</definedName>
    <definedName name="tp1c">'[14]แบบ TP'!$K$73</definedName>
    <definedName name="tp2a">'[14]แบบ TP'!$E$110</definedName>
    <definedName name="tp2b">'[14]แบบ TP'!$H$110</definedName>
    <definedName name="tp2c">'[14]แบบ TP'!$K$110</definedName>
    <definedName name="tp3a">'[14]แบบ TP'!$E$147</definedName>
    <definedName name="tp3b">'[14]แบบ TP'!$H$147</definedName>
    <definedName name="tp3c">'[14]แบบ TP'!$K$147</definedName>
    <definedName name="tr" localSheetId="1" hidden="1">[7]DETAIL!#REF!</definedName>
    <definedName name="tr" hidden="1">[7]DETAIL!#REF!</definedName>
    <definedName name="trus" localSheetId="1" hidden="1">'[1]#REF'!#REF!</definedName>
    <definedName name="trus" hidden="1">'[1]#REF'!#REF!</definedName>
    <definedName name="TSRU" hidden="1">{#N/A,#N/A,TRUE,"Str.";#N/A,#N/A,TRUE,"Steel &amp; Roof";#N/A,#N/A,TRUE,"Arc.";#N/A,#N/A,TRUE,"Preliminary";#N/A,#N/A,TRUE,"Sum_Prelim"}</definedName>
    <definedName name="TTUTU" hidden="1">{#N/A,#N/A,TRUE,"Str.";#N/A,#N/A,TRUE,"Steel &amp; Roof";#N/A,#N/A,TRUE,"Arc.";#N/A,#N/A,TRUE,"Preliminary";#N/A,#N/A,TRUE,"Sum_Prelim"}</definedName>
    <definedName name="tu" localSheetId="1" hidden="1">#REF!</definedName>
    <definedName name="tu" hidden="1">#REF!</definedName>
    <definedName name="turusut" localSheetId="1" hidden="1">[11]PL!#REF!</definedName>
    <definedName name="turusut" hidden="1">[11]PL!#REF!</definedName>
    <definedName name="tuti" hidden="1">{#N/A,#N/A,TRUE,"SUM";#N/A,#N/A,TRUE,"EE";#N/A,#N/A,TRUE,"AC";#N/A,#N/A,TRUE,"SN"}</definedName>
    <definedName name="tuurttut" localSheetId="1" hidden="1">'[10]F4-F7'!#REF!</definedName>
    <definedName name="tuurttut" hidden="1">'[10]F4-F7'!#REF!</definedName>
    <definedName name="tv" localSheetId="1" hidden="1">[7]DETAIL!#REF!</definedName>
    <definedName name="tv" hidden="1">[7]DETAIL!#REF!</definedName>
    <definedName name="twrb" hidden="1">{#N/A,#N/A,TRUE,"SUM";#N/A,#N/A,TRUE,"EE";#N/A,#N/A,TRUE,"AC";#N/A,#N/A,TRUE,"SN"}</definedName>
    <definedName name="U_lab" localSheetId="1">#REF!</definedName>
    <definedName name="U_lab">#REF!</definedName>
    <definedName name="U_mat" localSheetId="1">#REF!</definedName>
    <definedName name="U_mat">#REF!</definedName>
    <definedName name="uiop" hidden="1">{#N/A,#N/A,TRUE,"SUM";#N/A,#N/A,TRUE,"EE";#N/A,#N/A,TRUE,"AC";#N/A,#N/A,TRUE,"SN"}</definedName>
    <definedName name="uiopp" hidden="1">{#N/A,#N/A,TRUE,"SUM";#N/A,#N/A,TRUE,"EE";#N/A,#N/A,TRUE,"AC";#N/A,#N/A,TRUE,"SN"}</definedName>
    <definedName name="uipot" hidden="1">{#N/A,#N/A,TRUE,"SUM";#N/A,#N/A,TRUE,"EE";#N/A,#N/A,TRUE,"AC";#N/A,#N/A,TRUE,"SN"}</definedName>
    <definedName name="un" localSheetId="1" hidden="1">#REF!</definedName>
    <definedName name="un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lab" localSheetId="1">#REF!</definedName>
    <definedName name="unit_lab">#REF!</definedName>
    <definedName name="unit_lab___0" localSheetId="1">#REF!</definedName>
    <definedName name="unit_lab___0">#REF!</definedName>
    <definedName name="unit_mat" localSheetId="1">#REF!</definedName>
    <definedName name="unit_mat">#REF!</definedName>
    <definedName name="unit_mat___0" localSheetId="1">#REF!</definedName>
    <definedName name="unit_mat___0">#REF!</definedName>
    <definedName name="unit_total" localSheetId="1">#REF!</definedName>
    <definedName name="unit_total">#REF!</definedName>
    <definedName name="unit_total___0" localSheetId="1">#REF!</definedName>
    <definedName name="unit_total___0">#REF!</definedName>
    <definedName name="uo" hidden="1">{#N/A,#N/A,TRUE,"SUM";#N/A,#N/A,TRUE,"EE";#N/A,#N/A,TRUE,"AC";#N/A,#N/A,TRUE,"SN"}</definedName>
    <definedName name="uoym" localSheetId="1" hidden="1">[33]FAB별!#REF!</definedName>
    <definedName name="uoym" hidden="1">[33]FAB별!#REF!</definedName>
    <definedName name="urte" localSheetId="1" hidden="1">#REF!</definedName>
    <definedName name="urte" hidden="1">#REF!</definedName>
    <definedName name="urtejgf" localSheetId="1" hidden="1">#REF!</definedName>
    <definedName name="urtejgf" hidden="1">#REF!</definedName>
    <definedName name="URTUU" hidden="1">{#N/A,#N/A,TRUE,"SUM";#N/A,#N/A,TRUE,"EE";#N/A,#N/A,TRUE,"AC";#N/A,#N/A,TRUE,"SN"}</definedName>
    <definedName name="utmkou" hidden="1">{#N/A,#N/A,TRUE,"SUM";#N/A,#N/A,TRUE,"EE";#N/A,#N/A,TRUE,"AC";#N/A,#N/A,TRUE,"SN"}</definedName>
    <definedName name="UTU" hidden="1">{#N/A,#N/A,TRUE,"SUM";#N/A,#N/A,TRUE,"EE";#N/A,#N/A,TRUE,"AC";#N/A,#N/A,TRUE,"SN"}</definedName>
    <definedName name="V1A">'[14]แบบ V'!$E$36</definedName>
    <definedName name="V1B">'[14]แบบ V'!$H$36</definedName>
    <definedName name="V1C">'[14]แบบ V'!$K$36</definedName>
    <definedName name="V2A">'[14]แบบ V'!$E$73</definedName>
    <definedName name="V2B">'[14]แบบ V'!$H$73</definedName>
    <definedName name="V2C">'[14]แบบ V'!$K$73</definedName>
    <definedName name="V3A">'[14]แบบ V'!$E$110</definedName>
    <definedName name="V3B">'[14]แบบ V'!$H$110</definedName>
    <definedName name="V3C">'[14]แบบ V'!$K$110</definedName>
    <definedName name="V4A">'[14]แบบ V'!$E$147</definedName>
    <definedName name="V4B">'[14]แบบ V'!$H$147</definedName>
    <definedName name="V4C">'[14]แบบ V'!$K$147</definedName>
    <definedName name="vah" hidden="1">{"'SUMMATION'!$B$2:$I$2"}</definedName>
    <definedName name="Values_Entered" localSheetId="1">IF(GPTemplate!Loan_Amount*GPTemplate!Interest_Rate*GPTemplate!Loan_Years*GPTemplate!Loan_Start&gt;0,1,0)</definedName>
    <definedName name="Values_Entered">IF(Loan_Amount*Interest_Rate*Loan_Years*Loan_Start&gt;0,1,0)</definedName>
    <definedName name="Values_Entered___0" localSheetId="1">IF(GPTemplate!Loan_Amount*GPTemplate!Interest_Rate*GPTemplate!Loan_Years*GPTemplate!Loan_Start&gt;0,1,0)</definedName>
    <definedName name="Values_Entered___0">IF(Loan_Amount*Interest_Rate*Loan_Years*Loan_Start&gt;0,1,0)</definedName>
    <definedName name="Values_Entered___10" localSheetId="1">IF(GPTemplate!Loan_Amount*GPTemplate!Interest_Rate*GPTemplate!Loan_Years*GPTemplate!Loan_Start&gt;0,1,0)</definedName>
    <definedName name="Values_Entered___10">IF(Loan_Amount*Interest_Rate*Loan_Years*Loan_Start&gt;0,1,0)</definedName>
    <definedName name="Values_Entered___2" localSheetId="1">IF(GPTemplate!Loan_Amount*GPTemplate!Interest_Rate*GPTemplate!Loan_Years*GPTemplate!Loan_Start&gt;0,1,0)</definedName>
    <definedName name="Values_Entered___2">IF(Loan_Amount*Interest_Rate*Loan_Years*Loan_Start&gt;0,1,0)</definedName>
    <definedName name="Values_Entered___3" localSheetId="1">IF(GPTemplate!Loan_Amount*GPTemplate!Interest_Rate*GPTemplate!Loan_Years*GPTemplate!Loan_Start&gt;0,1,0)</definedName>
    <definedName name="Values_Entered___3">IF(Loan_Amount*Interest_Rate*Loan_Years*Loan_Start&gt;0,1,0)</definedName>
    <definedName name="Values_Entered___4" localSheetId="1">IF(GPTemplate!Loan_Amount*GPTemplate!Interest_Rate*GPTemplate!Loan_Years*GPTemplate!Loan_Start&gt;0,1,0)</definedName>
    <definedName name="Values_Entered___4">IF(Loan_Amount*Interest_Rate*Loan_Years*Loan_Start&gt;0,1,0)</definedName>
    <definedName name="Values_Entered___5" localSheetId="1">IF(GPTemplate!Loan_Amount*GPTemplate!Interest_Rate*GPTemplate!Loan_Years*GPTemplate!Loan_Start&gt;0,1,0)</definedName>
    <definedName name="Values_Entered___5">IF(Loan_Amount*Interest_Rate*Loan_Years*Loan_Start&gt;0,1,0)</definedName>
    <definedName name="Values_Entered___6" localSheetId="1">IF(GPTemplate!Loan_Amount*GPTemplate!Interest_Rate*GPTemplate!Loan_Years*GPTemplate!Loan_Start&gt;0,1,0)</definedName>
    <definedName name="Values_Entered___6">IF(Loan_Amount*Interest_Rate*Loan_Years*Loan_Start&gt;0,1,0)</definedName>
    <definedName name="Values_Entered___7" localSheetId="1">IF(GPTemplate!Loan_Amount*GPTemplate!Interest_Rate*GPTemplate!Loan_Years*GPTemplate!Loan_Start&gt;0,1,0)</definedName>
    <definedName name="Values_Entered___7">IF(Loan_Amount*Interest_Rate*Loan_Years*Loan_Start&gt;0,1,0)</definedName>
    <definedName name="Values_Entered___8" localSheetId="1">IF(GPTemplate!Loan_Amount*GPTemplate!Interest_Rate*GPTemplate!Loan_Years*GPTemplate!Loan_Start&gt;0,1,0)</definedName>
    <definedName name="Values_Entered___8">IF(Loan_Amount*Interest_Rate*Loan_Years*Loan_Start&gt;0,1,0)</definedName>
    <definedName name="Values_Entered___9" localSheetId="1">IF(GPTemplate!Loan_Amount*GPTemplate!Interest_Rate*GPTemplate!Loan_Years*GPTemplate!Loan_Start&gt;0,1,0)</definedName>
    <definedName name="Values_Entered___9">IF(Loan_Amount*Interest_Rate*Loan_Years*Loan_Start&gt;0,1,0)</definedName>
    <definedName name="vdvu" hidden="1">{#N/A,#N/A,TRUE,"SUM";#N/A,#N/A,TRUE,"EE";#N/A,#N/A,TRUE,"AC";#N/A,#N/A,TRUE,"SN"}</definedName>
    <definedName name="VEN" hidden="1">{#N/A,#N/A,TRUE,"SUM";#N/A,#N/A,TRUE,"EE";#N/A,#N/A,TRUE,"AC";#N/A,#N/A,TRUE,"SN"}</definedName>
    <definedName name="vgs" localSheetId="1" hidden="1">[4]tifico!#REF!</definedName>
    <definedName name="vgs" hidden="1">[4]tifico!#REF!</definedName>
    <definedName name="vrw" localSheetId="1" hidden="1">'[10]F4-F7'!#REF!</definedName>
    <definedName name="vrw" hidden="1">'[10]F4-F7'!#REF!</definedName>
    <definedName name="vsg" localSheetId="1" hidden="1">[6]escon!#REF!</definedName>
    <definedName name="vsg" hidden="1">[6]escon!#REF!</definedName>
    <definedName name="vt" hidden="1">{"'장비'!$A$3:$M$12"}</definedName>
    <definedName name="vtwv" localSheetId="1" hidden="1">'[1]#REF'!#REF!</definedName>
    <definedName name="vtwv" hidden="1">'[1]#REF'!#REF!</definedName>
    <definedName name="vuert" hidden="1">{#N/A,#N/A,TRUE,"SUM";#N/A,#N/A,TRUE,"EE";#N/A,#N/A,TRUE,"AC";#N/A,#N/A,TRUE,"SN"}</definedName>
    <definedName name="VVCC" localSheetId="1" hidden="1">[34]FAB별!#REF!</definedName>
    <definedName name="VVCC" hidden="1">[34]FAB별!#REF!</definedName>
    <definedName name="vvvvvv" localSheetId="1" hidden="1">#REF!</definedName>
    <definedName name="vvvvvv" hidden="1">#REF!</definedName>
    <definedName name="vwey" localSheetId="1" hidden="1">#REF!</definedName>
    <definedName name="vwey" hidden="1">#REF!</definedName>
    <definedName name="vwt" localSheetId="1" hidden="1">[7]DETAIL!#REF!</definedName>
    <definedName name="vwt" hidden="1">[7]DETAIL!#REF!</definedName>
    <definedName name="vwtrv" localSheetId="1" hidden="1">[8]escon!#REF!</definedName>
    <definedName name="vwtrv" hidden="1">[8]escon!#REF!</definedName>
    <definedName name="w" localSheetId="1" hidden="1">[7]DETAIL!#REF!</definedName>
    <definedName name="w" hidden="1">[7]DETAIL!#REF!</definedName>
    <definedName name="W11Y_G" localSheetId="1">#REF!</definedName>
    <definedName name="W11Y_G">#REF!</definedName>
    <definedName name="W11Y_T1" localSheetId="1">#REF!</definedName>
    <definedName name="W11Y_T1">#REF!</definedName>
    <definedName name="W11Y_T2" localSheetId="1">#REF!</definedName>
    <definedName name="W11Y_T2">#REF!</definedName>
    <definedName name="W11Y_W" localSheetId="1">#REF!</definedName>
    <definedName name="W11Y_W">#REF!</definedName>
    <definedName name="W23_G" localSheetId="1">#REF!</definedName>
    <definedName name="W23_G">#REF!</definedName>
    <definedName name="W23_T1" localSheetId="1">#REF!</definedName>
    <definedName name="W23_T1">#REF!</definedName>
    <definedName name="W23_T2" localSheetId="1">#REF!</definedName>
    <definedName name="W23_T2">#REF!</definedName>
    <definedName name="W23_W" localSheetId="1">#REF!</definedName>
    <definedName name="W23_W">#REF!</definedName>
    <definedName name="W23X_G" localSheetId="1">#REF!</definedName>
    <definedName name="W23X_G">#REF!</definedName>
    <definedName name="W23X_T1" localSheetId="1">#REF!</definedName>
    <definedName name="W23X_T1">#REF!</definedName>
    <definedName name="W23X_T2" localSheetId="1">#REF!</definedName>
    <definedName name="W23X_T2">#REF!</definedName>
    <definedName name="W23X_W" localSheetId="1">#REF!</definedName>
    <definedName name="W23X_W">#REF!</definedName>
    <definedName name="W23Y_G" localSheetId="1">#REF!</definedName>
    <definedName name="W23Y_G">#REF!</definedName>
    <definedName name="W23Y_T1" localSheetId="1">#REF!</definedName>
    <definedName name="W23Y_T1">#REF!</definedName>
    <definedName name="W23Y_T2" localSheetId="1">#REF!</definedName>
    <definedName name="W23Y_T2">#REF!</definedName>
    <definedName name="W23Y_W" localSheetId="1">#REF!</definedName>
    <definedName name="W23Y_W">#REF!</definedName>
    <definedName name="W23YA_G" localSheetId="1">#REF!</definedName>
    <definedName name="W23YA_G">#REF!</definedName>
    <definedName name="W23YA_T1" localSheetId="1">#REF!</definedName>
    <definedName name="W23YA_T1">#REF!</definedName>
    <definedName name="W23YA_T2" localSheetId="1">#REF!</definedName>
    <definedName name="W23YA_T2">#REF!</definedName>
    <definedName name="W23YA_W" localSheetId="1">#REF!</definedName>
    <definedName name="W23YA_W">#REF!</definedName>
    <definedName name="W23YX_G" localSheetId="1">#REF!</definedName>
    <definedName name="W23YX_G">#REF!</definedName>
    <definedName name="W23YX_T1" localSheetId="1">#REF!</definedName>
    <definedName name="W23YX_T1">#REF!</definedName>
    <definedName name="W23YX_T2" localSheetId="1">#REF!</definedName>
    <definedName name="W23YX_T2">#REF!</definedName>
    <definedName name="W23YX_W" localSheetId="1">#REF!</definedName>
    <definedName name="W23YX_W">#REF!</definedName>
    <definedName name="W23Z_G" localSheetId="1">#REF!</definedName>
    <definedName name="W23Z_G">#REF!</definedName>
    <definedName name="W23Z_T1" localSheetId="1">#REF!</definedName>
    <definedName name="W23Z_T1">#REF!</definedName>
    <definedName name="W23Z_T2" localSheetId="1">#REF!</definedName>
    <definedName name="W23Z_T2">#REF!</definedName>
    <definedName name="W23Z_W" localSheetId="1">#REF!</definedName>
    <definedName name="W23Z_W">#REF!</definedName>
    <definedName name="wall" localSheetId="1">#REF!</definedName>
    <definedName name="wall">#REF!</definedName>
    <definedName name="wDD" localSheetId="1">#REF!</definedName>
    <definedName name="wDD">#REF!</definedName>
    <definedName name="wewetwe" localSheetId="1" hidden="1">#REF!</definedName>
    <definedName name="wewetwe" hidden="1">#REF!</definedName>
    <definedName name="WF74A_G" localSheetId="1">#REF!</definedName>
    <definedName name="WF74A_G">#REF!</definedName>
    <definedName name="WF74A_T1" localSheetId="1">#REF!</definedName>
    <definedName name="WF74A_T1">#REF!</definedName>
    <definedName name="WF74A_T2" localSheetId="1">#REF!</definedName>
    <definedName name="WF74A_T2">#REF!</definedName>
    <definedName name="wm" localSheetId="1" hidden="1">[42]FAB별!#REF!</definedName>
    <definedName name="wm" hidden="1">[42]FAB별!#REF!</definedName>
    <definedName name="wn" localSheetId="1" hidden="1">#REF!</definedName>
    <definedName name="wn" hidden="1">#REF!</definedName>
    <definedName name="wnurn" hidden="1">{#N/A,#N/A,TRUE,"SUM";#N/A,#N/A,TRUE,"EE";#N/A,#N/A,TRUE,"AC";#N/A,#N/A,TRUE,"SN"}</definedName>
    <definedName name="wqdeasdasdsadsadsasdasdasdadsadsasadsdsasadasddasdasddas" localSheetId="1">#REF!</definedName>
    <definedName name="wqdeasdasdsadsadsasdasdasdadsadsasadsdsasadasddasdasddas">#REF!</definedName>
    <definedName name="wqtqwr" hidden="1">{#N/A,#N/A,FALSE,"Sum_BOQ";#N/A,#N/A,FALSE,"Preliminary";#N/A,#N/A,FALSE,"Sum_Prelim";#N/A,#N/A,FALSE,"Prime Cost&amp;Prov_sum"}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A." localSheetId="0" hidden="1">{#N/A,#N/A,TRUE,"SUM";#N/A,#N/A,TRUE,"EE";#N/A,#N/A,TRUE,"AC";#N/A,#N/A,TRUE,"SN"}</definedName>
    <definedName name="wrn.A." hidden="1">{#N/A,#N/A,TRUE,"SUM";#N/A,#N/A,TRUE,"EE";#N/A,#N/A,TRUE,"AC";#N/A,#N/A,TRUE,"SN"}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ILLS._.OF._.QUANTITY." localSheetId="0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hidden="1">{#N/A,#N/A,FALSE,"Sum_BOQ";#N/A,#N/A,FALSE,"Preliminary";#N/A,#N/A,FALSE,"Sum_Prelim";#N/A,#N/A,FALSE,"Prime Cost&amp;Prov_sum"}</definedName>
    <definedName name="wrn.cashflow." hidden="1">{"cashflow",#N/A,FALSE,"CASHFLOW "}</definedName>
    <definedName name="wrn.dep12." hidden="1">{#N/A,#N/A,FALSE,"PM1";#N/A,#N/A,FALSE,"PM2";#N/A,#N/A,FALSE,"PM3";#N/A,#N/A,FALSE,"PM4";#N/A,#N/A,FALSE,"PM5";#N/A,#N/A,FALSE,"PM6";#N/A,#N/A,FALSE,"CM1"}</definedName>
    <definedName name="wrn.DEPART1." hidden="1">{#N/A,#N/A,FALSE,"VPM(1-4)_12";#N/A,#N/A,FALSE,"CONV(1-4)_12"}</definedName>
    <definedName name="wrn.dept1." hidden="1">{#N/A,#N/A,FALSE,"VPM1_12";#N/A,#N/A,FALSE,"VPM2_12";#N/A,#N/A,FALSE,"VPM3_12";#N/A,#N/A,FALSE,"VPM4_12";#N/A,#N/A,FALSE,"CONV1_12";#N/A,#N/A,FALSE,"CONV2_12";#N/A,#N/A,FALSE,"CONV3_12";#N/A,#N/A,FALSE,"CONV4_12"}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ncome." hidden="1">{"income",#N/A,FALSE,"INCOME"}</definedName>
    <definedName name="wrn.index." hidden="1">{"index",#N/A,FALSE,"INDEX"}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_A_">{#N/A,#N/A,TRUE,"SUM";#N/A,#N/A,TRUE,"EE";#N/A,#N/A,TRUE,"AC";#N/A,#N/A,TRUE,"SN"}</definedName>
    <definedName name="wrn_BILLS___OF___QUANTITY_">{#N/A,#N/A,TRUE,"Str.";#N/A,#N/A,TRUE,"Steel &amp; Roof";#N/A,#N/A,TRUE,"Arc.";#N/A,#N/A,TRUE,"Preliminary";#N/A,#N/A,TRUE,"Sum_Prelim"}</definedName>
    <definedName name="wrn_BOOK11_">{"SUM",#N/A,FALSE,"summary";"BOOK11-1",#N/A,FALSE,"1CityGarden";"BOOK11-2",#N/A,FALSE,"2CountryGarden";"BOOK11-3",#N/A,FALSE,"3JUNGLE";"BOOK11-4CIVIL",#N/A,FALSE,"CIVIL"}</definedName>
    <definedName name="wsdw" localSheetId="1">#REF!</definedName>
    <definedName name="wsdw">#REF!</definedName>
    <definedName name="wtewtewte" localSheetId="1" hidden="1">#REF!</definedName>
    <definedName name="wtewtewte" hidden="1">#REF!</definedName>
    <definedName name="wtw" localSheetId="1" hidden="1">'[1]#REF'!#REF!</definedName>
    <definedName name="wtw" hidden="1">'[1]#REF'!#REF!</definedName>
    <definedName name="wtwttw" localSheetId="1" hidden="1">#REF!</definedName>
    <definedName name="wtwttw" hidden="1">#REF!</definedName>
    <definedName name="wvuv54" hidden="1">{#N/A,#N/A,TRUE,"SUM";#N/A,#N/A,TRUE,"EE";#N/A,#N/A,TRUE,"AC";#N/A,#N/A,TRUE,"SN"}</definedName>
    <definedName name="ww" hidden="1">{#N/A,#N/A,TRUE,"Str.";#N/A,#N/A,TRUE,"Steel &amp; Roof";#N/A,#N/A,TRUE,"Arc.";#N/A,#N/A,TRUE,"Preliminary";#N/A,#N/A,TRUE,"Sum_Prelim"}</definedName>
    <definedName name="www" localSheetId="1">'[47]ประมาณการประตูหน้าต่าง '!#REF!</definedName>
    <definedName name="www">'[47]ประมาณการประตูหน้าต่าง '!#REF!</definedName>
    <definedName name="wyb" localSheetId="1" hidden="1">#REF!</definedName>
    <definedName name="wyb" hidden="1">#REF!</definedName>
    <definedName name="x" hidden="1">{"'SUMMATION'!$B$2:$I$2"}</definedName>
    <definedName name="xdgggd" localSheetId="1" hidden="1">#REF!</definedName>
    <definedName name="xdgggd" hidden="1">#REF!</definedName>
    <definedName name="xdvxdvx" localSheetId="1">#REF!</definedName>
    <definedName name="xdvxdvx">#REF!</definedName>
    <definedName name="XX" localSheetId="1">#REF!</definedName>
    <definedName name="XX">#REF!</definedName>
    <definedName name="xxx" hidden="1">{#N/A,#N/A,TRUE,"Str.";#N/A,#N/A,TRUE,"Steel &amp; Roof";#N/A,#N/A,TRUE,"Arc.";#N/A,#N/A,TRUE,"Preliminary";#N/A,#N/A,TRUE,"Sum_Prelim"}</definedName>
    <definedName name="y" localSheetId="1">#REF!</definedName>
    <definedName name="y">#REF!</definedName>
    <definedName name="y_15" localSheetId="1">#REF!</definedName>
    <definedName name="y_15">#REF!</definedName>
    <definedName name="Y2A">'[14]แบบ Y'!$E$36</definedName>
    <definedName name="Y2B">'[14]แบบ Y'!$H$36</definedName>
    <definedName name="Y2C">'[14]แบบ Y'!$K$36</definedName>
    <definedName name="Y3A">'[14]แบบ Y'!$E$73</definedName>
    <definedName name="Y3B">'[14]แบบ Y'!$H$73</definedName>
    <definedName name="Y3C">'[14]แบบ Y'!$K$73</definedName>
    <definedName name="Y4A">'[14]แบบ Y'!$E$110</definedName>
    <definedName name="Y4B">'[14]แบบ Y'!$H$110</definedName>
    <definedName name="Y4C">'[14]แบบ Y'!$K$110</definedName>
    <definedName name="Y5A">'[14]แบบ Y'!$E$147</definedName>
    <definedName name="Y5B">'[14]แบบ Y'!$H$147</definedName>
    <definedName name="Y5C">'[14]แบบ Y'!$K$147</definedName>
    <definedName name="ybew43y" hidden="1">{#N/A,#N/A,TRUE,"SUM";#N/A,#N/A,TRUE,"EE";#N/A,#N/A,TRUE,"AC";#N/A,#N/A,TRUE,"SN"}</definedName>
    <definedName name="ybwer" hidden="1">{#N/A,#N/A,TRUE,"SUM";#N/A,#N/A,TRUE,"EE";#N/A,#N/A,TRUE,"AC";#N/A,#N/A,TRUE,"SN"}</definedName>
    <definedName name="yeben" localSheetId="1" hidden="1">#REF!</definedName>
    <definedName name="yeben" hidden="1">#REF!</definedName>
    <definedName name="yjyti" localSheetId="1" hidden="1">#REF!</definedName>
    <definedName name="yjyti" hidden="1">#REF!</definedName>
    <definedName name="ytn" hidden="1">{#N/A,#N/A,TRUE,"SUM";#N/A,#N/A,TRUE,"EE";#N/A,#N/A,TRUE,"AC";#N/A,#N/A,TRUE,"SN"}</definedName>
    <definedName name="ytrnue" hidden="1">{#N/A,#N/A,TRUE,"SUM";#N/A,#N/A,TRUE,"EE";#N/A,#N/A,TRUE,"AC";#N/A,#N/A,TRUE,"SN"}</definedName>
    <definedName name="yun" localSheetId="1" hidden="1">#REF!</definedName>
    <definedName name="yun" hidden="1">#REF!</definedName>
    <definedName name="z">'[18]SH-C'!$C$1:$G$600</definedName>
    <definedName name="zmf" hidden="1">{#N/A,#N/A,TRUE,"Str.";#N/A,#N/A,TRUE,"Steel &amp; Roof";#N/A,#N/A,TRUE,"Arc.";#N/A,#N/A,TRUE,"Preliminary";#N/A,#N/A,TRUE,"Sum_Prelim"}</definedName>
    <definedName name="เกดเก" localSheetId="1">[32]ภูมิทัศน์!#REF!</definedName>
    <definedName name="เกดเก">[32]ภูมิทัศน์!#REF!</definedName>
    <definedName name="เด้" hidden="1">{#N/A,#N/A,TRUE,"SUM";#N/A,#N/A,TRUE,"EE";#N/A,#N/A,TRUE,"AC";#N/A,#N/A,TRUE,"SN"}</definedName>
    <definedName name="เตรียมการ" localSheetId="1">#REF!</definedName>
    <definedName name="เตรียมการ">#REF!</definedName>
    <definedName name="แบบบ้าน">[48]Store!$A$3:$D$11</definedName>
    <definedName name="แปลงที่ดินคงเหลือ" localSheetId="1">#REF!</definedName>
    <definedName name="แปลงที่ดินคงเหลือ">#REF!</definedName>
    <definedName name="แสง" localSheetId="1">[22]boq!#REF!</definedName>
    <definedName name="แสง">[22]boq!#REF!</definedName>
    <definedName name="แสงสว_างห_องประช_ม" localSheetId="1">[49]boq!#REF!</definedName>
    <definedName name="แสงสว_างห_องประช_ม">[49]boq!#REF!</definedName>
    <definedName name="แสงสว่างห้องประชุม" localSheetId="1">[22]boq!#REF!</definedName>
    <definedName name="แสงสว่างห้องประชุม">[22]boq!#REF!</definedName>
    <definedName name="โครงการ" localSheetId="1">#REF!</definedName>
    <definedName name="โครงการ">#REF!</definedName>
    <definedName name="ไฑฑฌ" localSheetId="1">#REF!</definedName>
    <definedName name="ไฑฑฌ">#REF!</definedName>
    <definedName name="ไดได" hidden="1">{#N/A,#N/A,TRUE,"SUM";#N/A,#N/A,TRUE,"EE";#N/A,#N/A,TRUE,"AC";#N/A,#N/A,TRUE,"SN"}</definedName>
    <definedName name="ไดด" hidden="1">{#N/A,#N/A,TRUE,"SUM";#N/A,#N/A,TRUE,"EE";#N/A,#N/A,TRUE,"AC";#N/A,#N/A,TRUE,"SN"}</definedName>
    <definedName name="ก">'[50]SH-D'!$C$1:$G$531</definedName>
    <definedName name="กดหดห" hidden="1">{#N/A,#N/A,TRUE,"SUM";#N/A,#N/A,TRUE,"EE";#N/A,#N/A,TRUE,"AC";#N/A,#N/A,TRUE,"SN"}</definedName>
    <definedName name="กราวน์" localSheetId="1">[22]boq!#REF!</definedName>
    <definedName name="กราวน์">[22]boq!#REF!</definedName>
    <definedName name="กราวน_" localSheetId="1">[49]boq!#REF!</definedName>
    <definedName name="กราวน_">[49]boq!#REF!</definedName>
    <definedName name="งาน" localSheetId="1">[16]ภูมิทัศน์!#REF!</definedName>
    <definedName name="งาน">[16]ภูมิทัศน์!#REF!</definedName>
    <definedName name="งานเสา" localSheetId="1">[16]ภูมิทัศน์!#REF!</definedName>
    <definedName name="งานเสา">[16]ภูมิทัศน์!#REF!</definedName>
    <definedName name="งานโฮมโปร" localSheetId="1">#REF!</definedName>
    <definedName name="งานโฮมโปร">#REF!</definedName>
    <definedName name="งานทั่วไป" localSheetId="1">[16]ภูมิทัศน์!#REF!</definedName>
    <definedName name="งานทั่วไป">[16]ภูมิทัศน์!#REF!</definedName>
    <definedName name="งานบัวเชิงผนัง" localSheetId="1">[16]ภูมิทัศน์!#REF!</definedName>
    <definedName name="งานบัวเชิงผนัง">[16]ภูมิทัศน์!#REF!</definedName>
    <definedName name="งานประตูหน้าต่าง" localSheetId="1">[16]ภูมิทัศน์!#REF!</definedName>
    <definedName name="งานประตูหน้าต่าง">[16]ภูมิทัศน์!#REF!</definedName>
    <definedName name="งานผนัง" localSheetId="1">[16]ภูมิทัศน์!#REF!</definedName>
    <definedName name="งานผนัง">[16]ภูมิทัศน์!#REF!</definedName>
    <definedName name="งานผนัง2" localSheetId="1">[16]ภูมิทัศน์!#REF!</definedName>
    <definedName name="งานผนัง2">[16]ภูมิทัศน์!#REF!</definedName>
    <definedName name="งานฝ้าเพดาน" localSheetId="1">[16]ภูมิทัศน์!#REF!</definedName>
    <definedName name="งานฝ้าเพดาน">[16]ภูมิทัศน์!#REF!</definedName>
    <definedName name="งานพื้น" localSheetId="1">[16]ภูมิทัศน์!#REF!</definedName>
    <definedName name="งานพื้น">[16]ภูมิทัศน์!#REF!</definedName>
    <definedName name="งานภายนอก" localSheetId="1">#REF!</definedName>
    <definedName name="งานภายนอก">#REF!</definedName>
    <definedName name="งานสุขภัณฑ์" localSheetId="1">[16]ภูมิทัศน์!#REF!</definedName>
    <definedName name="งานสุขภัณฑ์">[16]ภูมิทัศน์!#REF!</definedName>
    <definedName name="งานหลังคา" localSheetId="1">[16]ภูมิทัศน์!#REF!</definedName>
    <definedName name="งานหลังคา">[16]ภูมิทัศน์!#REF!</definedName>
    <definedName name="ดก" localSheetId="1">#REF!</definedName>
    <definedName name="ดก">#REF!</definedName>
    <definedName name="ดัพ" localSheetId="1">#REF!</definedName>
    <definedName name="ดัพ">#REF!</definedName>
    <definedName name="ดำดำด" hidden="1">{#N/A,#N/A,TRUE,"SUM";#N/A,#N/A,TRUE,"EE";#N/A,#N/A,TRUE,"AC";#N/A,#N/A,TRUE,"SN"}</definedName>
    <definedName name="ถนน" localSheetId="1">#REF!</definedName>
    <definedName name="ถนน">#REF!</definedName>
    <definedName name="ธํฑฌ" localSheetId="1">#REF!</definedName>
    <definedName name="ธํฑฌ">#REF!</definedName>
    <definedName name="บล" localSheetId="1">#REF!</definedName>
    <definedName name="บล">#REF!</definedName>
    <definedName name="บันทัด" localSheetId="1">#REF!</definedName>
    <definedName name="บันทัด">#REF!</definedName>
    <definedName name="ปก32" hidden="1">{"'SUMMATION'!$B$2:$I$2"}</definedName>
    <definedName name="พอ" localSheetId="1">'[47]ประมาณการประตูหน้าต่าง '!#REF!</definedName>
    <definedName name="พอ">'[47]ประมาณการประตูหน้าต่าง '!#REF!</definedName>
    <definedName name="ฟ">'[51]SH-A'!$C$1:$G$600</definedName>
    <definedName name="ฟ1" localSheetId="1">#REF!</definedName>
    <definedName name="ฟ1">#REF!</definedName>
    <definedName name="ฟ1200" localSheetId="1">#REF!</definedName>
    <definedName name="ฟ1200">#REF!</definedName>
    <definedName name="ฟฟฟ" localSheetId="0" hidden="1">{#N/A,#N/A,TRUE,"Str.";#N/A,#N/A,TRUE,"Steel &amp; Roof";#N/A,#N/A,TRUE,"Arc.";#N/A,#N/A,TRUE,"Preliminary";#N/A,#N/A,TRUE,"Sum_Prelim"}</definedName>
    <definedName name="ฟฟฟ" hidden="1">{#N/A,#N/A,TRUE,"Str.";#N/A,#N/A,TRUE,"Steel &amp; Roof";#N/A,#N/A,TRUE,"Arc.";#N/A,#N/A,TRUE,"Preliminary";#N/A,#N/A,TRUE,"Sum_Prelim"}</definedName>
    <definedName name="ฟภุ" localSheetId="1">'[47]ประมาณการประตูหน้าต่าง '!#REF!</definedName>
    <definedName name="ฟภุ">'[47]ประมาณการประตูหน้าต่าง '!#REF!</definedName>
    <definedName name="ฟห">'[52]SH-F'!$C$1:$G$600</definedName>
    <definedName name="ฟหก" localSheetId="1">[16]ภูมิทัศน์!#REF!</definedName>
    <definedName name="ฟหก">[16]ภูมิทัศน์!#REF!</definedName>
    <definedName name="ฟๅ" localSheetId="1">#REF!</definedName>
    <definedName name="ฟๅ">#REF!</definedName>
    <definedName name="ภาพและเส_ยง" localSheetId="1">[49]boq!#REF!</definedName>
    <definedName name="ภาพและเส_ยง">[49]boq!#REF!</definedName>
    <definedName name="ภาพและเสียง" localSheetId="1">[22]boq!#REF!</definedName>
    <definedName name="ภาพและเสียง">[22]boq!#REF!</definedName>
    <definedName name="ยลล" localSheetId="1">#REF!</definedName>
    <definedName name="ยลล">#REF!</definedName>
    <definedName name="รวม" hidden="1">{#N/A,#N/A,TRUE,"Str.";#N/A,#N/A,TRUE,"Steel &amp; Roof";#N/A,#N/A,TRUE,"Arc.";#N/A,#N/A,TRUE,"Preliminary";#N/A,#N/A,TRUE,"Sum_Prelim"}</definedName>
    <definedName name="รี" localSheetId="1">#REF!</definedName>
    <definedName name="รี">#REF!</definedName>
    <definedName name="ลองใหม่" localSheetId="1">[32]ภูมิทัศน์!#REF!</definedName>
    <definedName name="ลองใหม่">[32]ภูมิทัศน์!#REF!</definedName>
    <definedName name="ส_ม" localSheetId="1">#REF!</definedName>
    <definedName name="ส_ม">#REF!</definedName>
    <definedName name="ส_ร_">"$"</definedName>
    <definedName name="ส้ม" localSheetId="1">#REF!</definedName>
    <definedName name="ส้ม">#REF!</definedName>
    <definedName name="สร_ปท__งหมด" localSheetId="1">#REF!</definedName>
    <definedName name="สร_ปท__งหมด">#REF!</definedName>
    <definedName name="สร_ปรวมงานระบบท__งหมด">'[15]SH-A'!$C$1:$G$600</definedName>
    <definedName name="สรุปทั้งหมด" localSheetId="1">#REF!</definedName>
    <definedName name="สรุปทั้งหมด">#REF!</definedName>
    <definedName name="สรุปรวมงานระบบทั้งหมด">'[15]SH-A'!$C$1:$G$600</definedName>
    <definedName name="สำเริง" hidden="1">{#N/A,#N/A,TRUE,"Str.";#N/A,#N/A,TRUE,"Steel &amp; Roof";#N/A,#N/A,TRUE,"Arc.";#N/A,#N/A,TRUE,"Preliminary";#N/A,#N/A,TRUE,"Sum_Prelim"}</definedName>
    <definedName name="สิริ">"$"</definedName>
    <definedName name="ห418" localSheetId="1">#REF!</definedName>
    <definedName name="ห418">#REF!</definedName>
    <definedName name="หมวดงานโครงสร้างสนามเทนนิส" localSheetId="1">#REF!</definedName>
    <definedName name="หมวดงานโครงสร้างสนามเทนนิส">#REF!</definedName>
    <definedName name="ฯฐ๊" localSheetId="1">#REF!</definedName>
    <definedName name="ฯฐ๊">#REF!</definedName>
    <definedName name="건축원가" hidden="1">[53]전기!$B$4:$B$163</definedName>
    <definedName name="곽봉섭작성" hidden="1">{"'장비'!$A$3:$M$12"}</definedName>
    <definedName name="ㄴㄴㄴ" localSheetId="1" hidden="1">#REF!</definedName>
    <definedName name="ㄴㄴㄴ" hidden="1">#REF!</definedName>
    <definedName name="ㄴㄴㄴㄴ" localSheetId="1" hidden="1">#REF!</definedName>
    <definedName name="ㄴㄴㄴㄴ" hidden="1">#REF!</definedName>
    <definedName name="ㄴㄴㄴㄴㄴ" localSheetId="1" hidden="1">#REF!</definedName>
    <definedName name="ㄴㄴㄴㄴㄴ" hidden="1">#REF!</definedName>
    <definedName name="ㄷㄷ" localSheetId="1" hidden="1">#REF!</definedName>
    <definedName name="ㄷㄷ" hidden="1">#REF!</definedName>
    <definedName name="ㄹㄹㄹ" localSheetId="1" hidden="1">#REF!</definedName>
    <definedName name="ㄹㄹㄹ" hidden="1">#REF!</definedName>
    <definedName name="ㅁ" localSheetId="1" hidden="1">#REF!</definedName>
    <definedName name="ㅁ" hidden="1">#REF!</definedName>
    <definedName name="ㅁㅁ" localSheetId="1" hidden="1">#REF!</definedName>
    <definedName name="ㅁㅁ" hidden="1">#REF!</definedName>
    <definedName name="부대공사" localSheetId="1" hidden="1">#REF!</definedName>
    <definedName name="부대공사" hidden="1">#REF!</definedName>
    <definedName name="비교" hidden="1">255</definedName>
    <definedName name="비교표1" hidden="1">255</definedName>
    <definedName name="소ㅑ104" localSheetId="1" hidden="1">[42]FAB별!#REF!</definedName>
    <definedName name="소ㅑ104" hidden="1">[42]FAB별!#REF!</definedName>
    <definedName name="수" localSheetId="1" hidden="1">#REF!</definedName>
    <definedName name="수" hidden="1">#REF!</definedName>
    <definedName name="ㅇㄹㄹ" localSheetId="1" hidden="1">#REF!</definedName>
    <definedName name="ㅇㄹㄹ" hidden="1">#REF!</definedName>
    <definedName name="ㅇㄹㅇㄹ" localSheetId="1" hidden="1">#REF!</definedName>
    <definedName name="ㅇㄹㅇㄹ" hidden="1">#REF!</definedName>
    <definedName name="ㅇㅇㄹ" localSheetId="1" hidden="1">#REF!</definedName>
    <definedName name="ㅇㅇㄹ" hidden="1">#REF!</definedName>
    <definedName name="ㅇㅇㅇ" localSheetId="1" hidden="1">#REF!</definedName>
    <definedName name="ㅇㅇㅇ" hidden="1">#REF!</definedName>
    <definedName name="아" localSheetId="1" hidden="1">[40]CABLE!#REF!</definedName>
    <definedName name="아" hidden="1">[40]CABLE!#REF!</definedName>
    <definedName name="이릉" localSheetId="1" hidden="1">#REF!</definedName>
    <definedName name="이릉" hidden="1">#REF!</definedName>
    <definedName name="이종훈" hidden="1">[53]전기!$A$4:$A$163</definedName>
    <definedName name="자" localSheetId="1" hidden="1">#REF!</definedName>
    <definedName name="자" hidden="1">#REF!</definedName>
    <definedName name="총괄내역" localSheetId="1" hidden="1">#REF!</definedName>
    <definedName name="총괄내역" hidden="1">#REF!</definedName>
    <definedName name="파일" localSheetId="1" hidden="1">#REF!</definedName>
    <definedName name="파일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8" i="1"/>
  <c r="B45" i="5"/>
  <c r="AC8" i="1"/>
  <c r="L44" i="1" l="1"/>
  <c r="C44" i="1"/>
  <c r="AH43" i="1"/>
  <c r="AG43" i="1"/>
  <c r="AH42" i="1"/>
  <c r="AG42" i="1"/>
  <c r="AH41" i="1"/>
  <c r="AG41" i="1"/>
  <c r="AH40" i="1"/>
  <c r="AG40" i="1"/>
  <c r="AH11" i="1"/>
  <c r="AC11" i="1"/>
  <c r="AG11" i="1" s="1"/>
  <c r="W11" i="1"/>
  <c r="O11" i="1"/>
  <c r="N11" i="1"/>
  <c r="J11" i="1"/>
  <c r="AC10" i="1"/>
  <c r="AG10" i="1" s="1"/>
  <c r="W10" i="1"/>
  <c r="N10" i="1"/>
  <c r="O10" i="1"/>
  <c r="J10" i="1"/>
  <c r="AC9" i="1"/>
  <c r="AG9" i="1" s="1"/>
  <c r="W9" i="1"/>
  <c r="Z9" i="1" s="1"/>
  <c r="AA9" i="1" s="1"/>
  <c r="AB9" i="1" s="1"/>
  <c r="O9" i="1"/>
  <c r="N9" i="1"/>
  <c r="J9" i="1"/>
  <c r="AE44" i="1"/>
  <c r="W8" i="1"/>
  <c r="N8" i="1"/>
  <c r="J8" i="1"/>
  <c r="AH7" i="1"/>
  <c r="AG7" i="1"/>
  <c r="AH6" i="1"/>
  <c r="AG6" i="1"/>
  <c r="AH5" i="1"/>
  <c r="AG5" i="1"/>
  <c r="F11" i="5" l="1"/>
  <c r="F9" i="5"/>
  <c r="D11" i="5"/>
  <c r="M12" i="5"/>
  <c r="M10" i="5"/>
  <c r="F12" i="5"/>
  <c r="G12" i="5"/>
  <c r="G10" i="5"/>
  <c r="F10" i="5"/>
  <c r="D12" i="5"/>
  <c r="D10" i="5"/>
  <c r="M11" i="5"/>
  <c r="M9" i="5"/>
  <c r="G11" i="5"/>
  <c r="G9" i="5"/>
  <c r="D9" i="5"/>
  <c r="AD44" i="1"/>
  <c r="AH9" i="1"/>
  <c r="Z11" i="1"/>
  <c r="AA11" i="1" s="1"/>
  <c r="AB11" i="1" s="1"/>
  <c r="Z10" i="1"/>
  <c r="AA10" i="1" s="1"/>
  <c r="AJ44" i="1"/>
  <c r="K44" i="1"/>
  <c r="O8" i="1"/>
  <c r="W44" i="1"/>
  <c r="H10" i="5" l="1"/>
  <c r="J10" i="5" s="1"/>
  <c r="K10" i="5" s="1"/>
  <c r="F45" i="5"/>
  <c r="G45" i="5"/>
  <c r="H12" i="5"/>
  <c r="J12" i="5" s="1"/>
  <c r="K12" i="5" s="1"/>
  <c r="H9" i="5"/>
  <c r="J9" i="5" s="1"/>
  <c r="K9" i="5" s="1"/>
  <c r="O9" i="5" s="1"/>
  <c r="D45" i="5"/>
  <c r="H11" i="5"/>
  <c r="J11" i="5" s="1"/>
  <c r="K11" i="5" s="1"/>
  <c r="AB10" i="1"/>
  <c r="AH10" i="1"/>
  <c r="Y44" i="1"/>
  <c r="X44" i="1"/>
  <c r="Z8" i="1"/>
  <c r="AG8" i="1"/>
  <c r="O10" i="5" l="1"/>
  <c r="R10" i="5" s="1"/>
  <c r="P10" i="5"/>
  <c r="S10" i="5" s="1"/>
  <c r="O12" i="5"/>
  <c r="R12" i="5" s="1"/>
  <c r="P12" i="5"/>
  <c r="S12" i="5" s="1"/>
  <c r="H45" i="5"/>
  <c r="O11" i="5"/>
  <c r="R11" i="5" s="1"/>
  <c r="P11" i="5"/>
  <c r="S11" i="5" s="1"/>
  <c r="R9" i="5"/>
  <c r="P9" i="5"/>
  <c r="S9" i="5" s="1"/>
  <c r="AA8" i="1"/>
  <c r="R45" i="5" l="1"/>
  <c r="O45" i="5"/>
  <c r="J45" i="5"/>
  <c r="AH8" i="1"/>
  <c r="AH44" i="1" s="1"/>
  <c r="AB8" i="1"/>
  <c r="S45" i="5" l="1"/>
  <c r="P45" i="5"/>
  <c r="Z44" i="1"/>
  <c r="AA44" i="1" l="1"/>
  <c r="AB44" i="1" s="1"/>
  <c r="AG44" i="1" l="1"/>
  <c r="AC44" i="1"/>
</calcChain>
</file>

<file path=xl/sharedStrings.xml><?xml version="1.0" encoding="utf-8"?>
<sst xmlns="http://schemas.openxmlformats.org/spreadsheetml/2006/main" count="116" uniqueCount="77">
  <si>
    <t>Block</t>
  </si>
  <si>
    <t>แปลง SAP</t>
  </si>
  <si>
    <t>จำนวน Units</t>
  </si>
  <si>
    <t>ชื่อแบบบ้าน</t>
  </si>
  <si>
    <t>Phase 1_Paymet ช่วยเหลือพิเศษ 31 มีนาคม 2565</t>
  </si>
  <si>
    <t>Phase 2_BOQ ฉบับปรับค่าแรง ปี 2565</t>
  </si>
  <si>
    <t>หมายเหตุ</t>
  </si>
  <si>
    <t>CASE 1</t>
  </si>
  <si>
    <t>CASE 2</t>
  </si>
  <si>
    <t>CASE 3</t>
  </si>
  <si>
    <t>1 ม.ค. -31ธ.ค. 65</t>
  </si>
  <si>
    <t>1 ต.ค. -31 ธ.ค. 64</t>
  </si>
  <si>
    <t>1 ม.ค. -31 มี.ค. 65</t>
  </si>
  <si>
    <t>1 เม.ย. -31ธ.ค. 65</t>
  </si>
  <si>
    <t>AP BUY</t>
  </si>
  <si>
    <t>Payment</t>
  </si>
  <si>
    <t>PREPARED BY BM</t>
  </si>
  <si>
    <t>AGREED BY BG</t>
  </si>
  <si>
    <t>งวดงานปิดฝ้า</t>
  </si>
  <si>
    <t>ใบเริ่มงานก่อสร้าง งวดที่ 1</t>
  </si>
  <si>
    <t>หน้า Budget</t>
  </si>
  <si>
    <t>SAP Budget
Gate #3</t>
  </si>
  <si>
    <t xml:space="preserve">   Assigned</t>
  </si>
  <si>
    <t>Case 1</t>
  </si>
  <si>
    <t>Case 2</t>
  </si>
  <si>
    <t>เพิ่มเหล็กเส้น</t>
  </si>
  <si>
    <t>เพิ่มประตู-หน้า Aluminuim</t>
  </si>
  <si>
    <t>เพิ่มงานเสาเข็มเจาะ</t>
  </si>
  <si>
    <t>เพิ่มเจาะช่องหน้าต่าง</t>
  </si>
  <si>
    <t xml:space="preserve">Forecast 1%
</t>
  </si>
  <si>
    <t>AP</t>
  </si>
  <si>
    <t>P</t>
  </si>
  <si>
    <t>BOQ  Y2023
Forcast  [2.1+2.2+2.3+2.4+2.5+2.6+2.7+2.8+2.9]</t>
  </si>
  <si>
    <t>ส่วนต่างForcast- SAP Budget</t>
  </si>
  <si>
    <t>รวม Budget ที่ต้องเพิ่ม CO-01</t>
  </si>
  <si>
    <t>รวม Budget ที่ใช้งบ CO-C1</t>
  </si>
  <si>
    <t>บ้านโอนแล้ว</t>
  </si>
  <si>
    <t>เงินประกันงานซ่อม 1% CO-A1</t>
  </si>
  <si>
    <t>[1]</t>
  </si>
  <si>
    <t>คงเหลือ</t>
  </si>
  <si>
    <t xml:space="preserve"> [2.1]</t>
  </si>
  <si>
    <t xml:space="preserve"> [2.2]</t>
  </si>
  <si>
    <t xml:space="preserve">  [ 2.3 ]</t>
  </si>
  <si>
    <t xml:space="preserve"> [2.4]</t>
  </si>
  <si>
    <t xml:space="preserve"> [2.5]</t>
  </si>
  <si>
    <t xml:space="preserve">  [ 2.6 ]</t>
  </si>
  <si>
    <t>[2.7]</t>
  </si>
  <si>
    <t>[2.8]</t>
  </si>
  <si>
    <t>[2.9]</t>
  </si>
  <si>
    <t>[ 2 ]</t>
  </si>
  <si>
    <t>[2]  - [1]</t>
  </si>
  <si>
    <t>PN2020_TW2F_11.4B_35.35</t>
  </si>
  <si>
    <t>-</t>
  </si>
  <si>
    <t>ยกเลิก</t>
  </si>
  <si>
    <t>/</t>
  </si>
  <si>
    <t>ใช้ BOQ ฉบับปรับค่าแรง ปี 2565</t>
  </si>
  <si>
    <t>B4072W35C20</t>
  </si>
  <si>
    <t>Forcast ค่าวัสดุ และค่าแรง 2024</t>
  </si>
  <si>
    <t xml:space="preserve">Total Actual Budget Forcast </t>
  </si>
  <si>
    <t>[2.1]</t>
  </si>
  <si>
    <t>[2.2]</t>
  </si>
  <si>
    <t>[2]=[2.1]+[2.2]</t>
  </si>
  <si>
    <t>[3] =[2] - [1]</t>
  </si>
  <si>
    <t xml:space="preserve">ส่วนต่าง Budget  </t>
  </si>
  <si>
    <t>สถานะบ้าน โอน</t>
  </si>
  <si>
    <t>ใช้ข้อมูลต้นทุนในการ Import</t>
  </si>
  <si>
    <t>โหลด จาก SAP</t>
  </si>
  <si>
    <t>Manual BOQ</t>
  </si>
  <si>
    <t>A01-R-001</t>
  </si>
  <si>
    <t>A02-R-001</t>
  </si>
  <si>
    <t>A03-R-001</t>
  </si>
  <si>
    <t>A04-R-001</t>
  </si>
  <si>
    <t>4/022-CO-01-A01-R-001</t>
  </si>
  <si>
    <t>4/022-CO-01-A02-R-001</t>
  </si>
  <si>
    <t>4/022-CO-01-A03-R-001</t>
  </si>
  <si>
    <t>4/022-CO-01-A04-R-001</t>
  </si>
  <si>
    <t>โครงการ ……xxxxxxxxx….. (xxxx)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</si>
</sst>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-* #,##0.00_-;\-* #,##0.00_-;_-* &quot;-&quot;??_-;_-@_-"/>
    <numFmt numFmtId="188" formatCode="#,##0.00_ ;[Red]\-#,##0.00\ "/>
    <numFmt numFmtId="189" formatCode="_-* #,##0_-;\-* #,##0_-;_-* &quot;-&quot;??_-;_-@_-"/>
    <numFmt numFmtId="190" formatCode="#,##0_ ;[Red]\-#,##0\ "/>
  </numFmts>
  <fonts count="30" x14ac:knownFonts="1">
    <font>
      <sz val="16"/>
      <color theme="1"/>
      <name val="AngsanaUPC"/>
      <family val="2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AP"/>
      <family val="3"/>
    </font>
    <font>
      <b/>
      <sz val="14"/>
      <color rgb="FFFF0000"/>
      <name val="AP"/>
      <family val="3"/>
    </font>
    <font>
      <sz val="14"/>
      <color theme="1"/>
      <name val="AP"/>
      <family val="3"/>
    </font>
    <font>
      <sz val="14"/>
      <name val="AP"/>
      <family val="3"/>
    </font>
    <font>
      <sz val="16"/>
      <color theme="1"/>
      <name val="AngsanaUPC"/>
      <family val="2"/>
      <charset val="222"/>
    </font>
    <font>
      <b/>
      <sz val="11"/>
      <name val="AP"/>
      <family val="3"/>
    </font>
    <font>
      <b/>
      <sz val="11"/>
      <color rgb="FF002060"/>
      <name val="AP"/>
      <family val="3"/>
    </font>
    <font>
      <sz val="11"/>
      <color theme="1"/>
      <name val="AP"/>
      <family val="3"/>
    </font>
    <font>
      <sz val="11"/>
      <name val="AP"/>
      <family val="3"/>
    </font>
    <font>
      <sz val="11"/>
      <color rgb="FF002060"/>
      <name val="AP"/>
      <family val="3"/>
    </font>
    <font>
      <sz val="16"/>
      <name val="AngsanaUPC"/>
      <family val="2"/>
      <charset val="222"/>
    </font>
    <font>
      <b/>
      <sz val="11"/>
      <color theme="0"/>
      <name val="AP"/>
      <family val="3"/>
    </font>
    <font>
      <sz val="11"/>
      <color rgb="FFFF0000"/>
      <name val="AP"/>
      <family val="3"/>
    </font>
    <font>
      <sz val="16"/>
      <color rgb="FF00B050"/>
      <name val="AngsanaUPC"/>
      <family val="2"/>
      <charset val="222"/>
    </font>
    <font>
      <sz val="18"/>
      <color theme="1"/>
      <name val="AngsanaUPC"/>
      <family val="2"/>
      <charset val="222"/>
    </font>
    <font>
      <sz val="11"/>
      <color theme="4" tint="-0.249977111117893"/>
      <name val="AP"/>
      <family val="3"/>
    </font>
    <font>
      <sz val="11"/>
      <color theme="5" tint="-0.499984740745262"/>
      <name val="AP"/>
      <family val="3"/>
    </font>
    <font>
      <sz val="11"/>
      <color rgb="FFC00000"/>
      <name val="AP"/>
      <family val="3"/>
    </font>
    <font>
      <sz val="11"/>
      <color rgb="FF305496"/>
      <name val="AP"/>
      <family val="3"/>
    </font>
    <font>
      <sz val="11"/>
      <color rgb="FF0070C0"/>
      <name val="AP"/>
      <family val="3"/>
    </font>
    <font>
      <b/>
      <sz val="11"/>
      <color rgb="FFFF0000"/>
      <name val="AP"/>
      <family val="3"/>
    </font>
    <font>
      <sz val="16"/>
      <color theme="1"/>
      <name val="AP"/>
      <family val="3"/>
    </font>
    <font>
      <b/>
      <sz val="14"/>
      <color theme="0"/>
      <name val="AP"/>
      <family val="3"/>
    </font>
    <font>
      <b/>
      <sz val="12"/>
      <color rgb="FFC00000"/>
      <name val="AP"/>
      <family val="3"/>
    </font>
    <font>
      <b/>
      <sz val="16"/>
      <color rgb="FFC00000"/>
      <name val="AP"/>
      <family val="3"/>
    </font>
    <font>
      <sz val="8"/>
      <name val="AngsanaUPC"/>
      <family val="2"/>
      <charset val="222"/>
    </font>
    <font>
      <sz val="9"/>
      <color rgb="FF2B2B2B"/>
      <name val="AP"/>
      <family val="3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18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</cellStyleXfs>
  <cellXfs count="204">
    <xf numFmtId="0" fontId="0" fillId="0" borderId="0" xfId="0"/>
    <xf numFmtId="0" fontId="3" fillId="0" borderId="2" xfId="3" applyFont="1" applyBorder="1" applyAlignment="1">
      <alignment vertical="center"/>
    </xf>
    <xf numFmtId="0" fontId="5" fillId="0" borderId="0" xfId="3" applyFont="1"/>
    <xf numFmtId="0" fontId="5" fillId="0" borderId="0" xfId="3" applyFont="1" applyAlignment="1">
      <alignment horizontal="center"/>
    </xf>
    <xf numFmtId="0" fontId="6" fillId="0" borderId="0" xfId="3" applyFont="1"/>
    <xf numFmtId="188" fontId="5" fillId="0" borderId="0" xfId="3" applyNumberFormat="1" applyFont="1"/>
    <xf numFmtId="189" fontId="5" fillId="0" borderId="0" xfId="1" applyNumberFormat="1" applyFont="1"/>
    <xf numFmtId="0" fontId="9" fillId="0" borderId="9" xfId="3" applyFont="1" applyBorder="1" applyAlignment="1">
      <alignment vertical="top" wrapText="1" shrinkToFit="1"/>
    </xf>
    <xf numFmtId="0" fontId="10" fillId="0" borderId="0" xfId="3" applyFont="1"/>
    <xf numFmtId="0" fontId="10" fillId="0" borderId="0" xfId="3" applyFont="1" applyAlignment="1">
      <alignment horizontal="center"/>
    </xf>
    <xf numFmtId="0" fontId="11" fillId="0" borderId="0" xfId="3" applyFont="1"/>
    <xf numFmtId="188" fontId="10" fillId="0" borderId="0" xfId="3" applyNumberFormat="1" applyFont="1"/>
    <xf numFmtId="189" fontId="10" fillId="0" borderId="0" xfId="1" applyNumberFormat="1" applyFont="1"/>
    <xf numFmtId="0" fontId="12" fillId="0" borderId="13" xfId="3" applyFont="1" applyBorder="1" applyAlignment="1">
      <alignment horizontal="center" vertical="center" wrapText="1" shrinkToFit="1"/>
    </xf>
    <xf numFmtId="0" fontId="12" fillId="2" borderId="13" xfId="3" applyFont="1" applyFill="1" applyBorder="1" applyAlignment="1">
      <alignment horizontal="center" vertical="center" wrapText="1" shrinkToFit="1"/>
    </xf>
    <xf numFmtId="0" fontId="13" fillId="0" borderId="0" xfId="0" applyFont="1"/>
    <xf numFmtId="187" fontId="10" fillId="0" borderId="0" xfId="1" applyFont="1" applyAlignment="1">
      <alignment horizontal="center" vertical="center"/>
    </xf>
    <xf numFmtId="187" fontId="10" fillId="0" borderId="0" xfId="1" applyFont="1" applyAlignment="1">
      <alignment horizontal="center"/>
    </xf>
    <xf numFmtId="188" fontId="10" fillId="0" borderId="0" xfId="1" applyNumberFormat="1" applyFont="1" applyAlignment="1"/>
    <xf numFmtId="189" fontId="10" fillId="0" borderId="0" xfId="1" applyNumberFormat="1" applyFont="1" applyAlignment="1"/>
    <xf numFmtId="0" fontId="12" fillId="0" borderId="17" xfId="3" applyFont="1" applyBorder="1" applyAlignment="1">
      <alignment horizontal="center" vertical="center" wrapText="1" shrinkToFit="1"/>
    </xf>
    <xf numFmtId="0" fontId="12" fillId="2" borderId="17" xfId="3" applyFont="1" applyFill="1" applyBorder="1" applyAlignment="1">
      <alignment horizontal="center" vertical="center" wrapText="1" shrinkToFit="1"/>
    </xf>
    <xf numFmtId="187" fontId="10" fillId="3" borderId="19" xfId="1" applyFont="1" applyFill="1" applyBorder="1" applyAlignment="1">
      <alignment horizontal="center"/>
    </xf>
    <xf numFmtId="187" fontId="10" fillId="3" borderId="20" xfId="1" applyFont="1" applyFill="1" applyBorder="1" applyAlignment="1">
      <alignment horizontal="center"/>
    </xf>
    <xf numFmtId="0" fontId="11" fillId="0" borderId="21" xfId="3" applyFont="1" applyBorder="1" applyAlignment="1">
      <alignment horizontal="center" vertical="center" shrinkToFit="1"/>
    </xf>
    <xf numFmtId="0" fontId="11" fillId="0" borderId="22" xfId="3" applyFont="1" applyBorder="1" applyAlignment="1">
      <alignment horizontal="center" vertical="center" shrinkToFit="1"/>
    </xf>
    <xf numFmtId="0" fontId="11" fillId="0" borderId="22" xfId="3" applyFont="1" applyBorder="1" applyAlignment="1">
      <alignment horizontal="left"/>
    </xf>
    <xf numFmtId="0" fontId="12" fillId="0" borderId="22" xfId="3" applyFont="1" applyBorder="1" applyAlignment="1">
      <alignment horizontal="center" vertical="center" wrapText="1" shrinkToFit="1"/>
    </xf>
    <xf numFmtId="0" fontId="12" fillId="2" borderId="22" xfId="3" applyFont="1" applyFill="1" applyBorder="1" applyAlignment="1">
      <alignment horizontal="center" vertical="center" wrapText="1" shrinkToFit="1"/>
    </xf>
    <xf numFmtId="0" fontId="12" fillId="0" borderId="23" xfId="3" applyFont="1" applyBorder="1" applyAlignment="1">
      <alignment horizontal="center" vertical="center" wrapText="1" shrinkToFit="1"/>
    </xf>
    <xf numFmtId="0" fontId="11" fillId="0" borderId="24" xfId="3" applyFont="1" applyBorder="1" applyAlignment="1">
      <alignment horizontal="center" vertical="center" shrinkToFit="1"/>
    </xf>
    <xf numFmtId="187" fontId="13" fillId="6" borderId="0" xfId="1" applyFont="1" applyFill="1" applyBorder="1" applyAlignment="1">
      <alignment vertical="center" wrapText="1"/>
    </xf>
    <xf numFmtId="187" fontId="11" fillId="3" borderId="13" xfId="1" applyFont="1" applyFill="1" applyBorder="1" applyAlignment="1">
      <alignment horizontal="center" vertical="top" wrapText="1"/>
    </xf>
    <xf numFmtId="187" fontId="11" fillId="7" borderId="13" xfId="1" applyFont="1" applyFill="1" applyBorder="1" applyAlignment="1">
      <alignment horizontal="center" vertical="top" wrapText="1"/>
    </xf>
    <xf numFmtId="187" fontId="10" fillId="0" borderId="0" xfId="1" applyFont="1" applyBorder="1" applyAlignment="1">
      <alignment horizontal="center" vertical="top" wrapText="1"/>
    </xf>
    <xf numFmtId="187" fontId="10" fillId="8" borderId="13" xfId="1" applyFont="1" applyFill="1" applyBorder="1" applyAlignment="1">
      <alignment horizontal="center" vertical="top" wrapText="1"/>
    </xf>
    <xf numFmtId="187" fontId="10" fillId="3" borderId="22" xfId="1" applyFont="1" applyFill="1" applyBorder="1" applyAlignment="1">
      <alignment horizontal="center" vertical="top" wrapText="1"/>
    </xf>
    <xf numFmtId="187" fontId="10" fillId="3" borderId="13" xfId="1" applyFont="1" applyFill="1" applyBorder="1" applyAlignment="1">
      <alignment horizontal="center" vertical="top" wrapText="1"/>
    </xf>
    <xf numFmtId="188" fontId="10" fillId="3" borderId="25" xfId="1" applyNumberFormat="1" applyFont="1" applyFill="1" applyBorder="1" applyAlignment="1">
      <alignment horizontal="center" vertical="top" wrapText="1"/>
    </xf>
    <xf numFmtId="188" fontId="10" fillId="3" borderId="26" xfId="1" applyNumberFormat="1" applyFont="1" applyFill="1" applyBorder="1" applyAlignment="1">
      <alignment horizontal="center" vertical="top" wrapText="1"/>
    </xf>
    <xf numFmtId="187" fontId="10" fillId="7" borderId="13" xfId="1" applyFont="1" applyFill="1" applyBorder="1" applyAlignment="1">
      <alignment horizontal="center" vertical="top" wrapText="1"/>
    </xf>
    <xf numFmtId="189" fontId="10" fillId="9" borderId="13" xfId="1" applyNumberFormat="1" applyFont="1" applyFill="1" applyBorder="1" applyAlignment="1">
      <alignment horizontal="center" vertical="top" wrapText="1"/>
    </xf>
    <xf numFmtId="187" fontId="10" fillId="0" borderId="0" xfId="1" applyFont="1"/>
    <xf numFmtId="189" fontId="10" fillId="10" borderId="27" xfId="1" applyNumberFormat="1" applyFont="1" applyFill="1" applyBorder="1" applyAlignment="1">
      <alignment horizontal="center" vertical="top" wrapText="1"/>
    </xf>
    <xf numFmtId="187" fontId="10" fillId="11" borderId="13" xfId="1" applyFont="1" applyFill="1" applyBorder="1" applyAlignment="1">
      <alignment horizontal="center" vertical="top" wrapText="1"/>
    </xf>
    <xf numFmtId="0" fontId="12" fillId="0" borderId="11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left"/>
    </xf>
    <xf numFmtId="0" fontId="12" fillId="0" borderId="28" xfId="3" applyFont="1" applyBorder="1" applyAlignment="1">
      <alignment horizontal="center" vertical="center" wrapText="1" shrinkToFit="1"/>
    </xf>
    <xf numFmtId="0" fontId="12" fillId="12" borderId="29" xfId="3" applyFont="1" applyFill="1" applyBorder="1" applyAlignment="1">
      <alignment horizontal="center" vertical="center" wrapText="1" shrinkToFit="1"/>
    </xf>
    <xf numFmtId="0" fontId="12" fillId="0" borderId="30" xfId="3" applyFont="1" applyBorder="1" applyAlignment="1">
      <alignment horizontal="center" vertical="center" wrapText="1" shrinkToFit="1"/>
    </xf>
    <xf numFmtId="0" fontId="12" fillId="0" borderId="14" xfId="3" applyFont="1" applyBorder="1" applyAlignment="1">
      <alignment horizontal="center" vertical="center" shrinkToFit="1"/>
    </xf>
    <xf numFmtId="187" fontId="10" fillId="0" borderId="31" xfId="1" applyFont="1" applyBorder="1" applyAlignment="1">
      <alignment horizontal="center" vertical="center"/>
    </xf>
    <xf numFmtId="187" fontId="0" fillId="0" borderId="0" xfId="1" applyFont="1" applyBorder="1" applyAlignment="1">
      <alignment horizontal="center" vertical="center" wrapText="1"/>
    </xf>
    <xf numFmtId="187" fontId="10" fillId="0" borderId="31" xfId="1" applyFont="1" applyBorder="1" applyAlignment="1">
      <alignment horizontal="center"/>
    </xf>
    <xf numFmtId="187" fontId="11" fillId="0" borderId="31" xfId="1" applyFont="1" applyFill="1" applyBorder="1" applyAlignment="1">
      <alignment horizontal="center"/>
    </xf>
    <xf numFmtId="188" fontId="10" fillId="0" borderId="32" xfId="1" applyNumberFormat="1" applyFont="1" applyBorder="1" applyAlignment="1">
      <alignment horizontal="center"/>
    </xf>
    <xf numFmtId="188" fontId="10" fillId="0" borderId="33" xfId="1" applyNumberFormat="1" applyFont="1" applyBorder="1" applyAlignment="1">
      <alignment horizontal="center"/>
    </xf>
    <xf numFmtId="187" fontId="10" fillId="0" borderId="32" xfId="1" applyFont="1" applyBorder="1" applyAlignment="1">
      <alignment horizontal="right" vertical="center"/>
    </xf>
    <xf numFmtId="187" fontId="10" fillId="0" borderId="31" xfId="1" applyFont="1" applyBorder="1" applyAlignment="1">
      <alignment horizontal="right" vertical="center"/>
    </xf>
    <xf numFmtId="189" fontId="10" fillId="0" borderId="31" xfId="1" applyNumberFormat="1" applyFont="1" applyFill="1" applyBorder="1" applyAlignment="1">
      <alignment horizontal="right" vertical="center"/>
    </xf>
    <xf numFmtId="187" fontId="10" fillId="0" borderId="28" xfId="1" applyFont="1" applyBorder="1" applyAlignment="1">
      <alignment horizontal="center"/>
    </xf>
    <xf numFmtId="0" fontId="12" fillId="0" borderId="34" xfId="3" applyFont="1" applyBorder="1" applyAlignment="1">
      <alignment horizontal="center" vertical="center" shrinkToFit="1"/>
    </xf>
    <xf numFmtId="0" fontId="12" fillId="0" borderId="28" xfId="3" applyFont="1" applyBorder="1" applyAlignment="1">
      <alignment horizontal="center" vertical="center" shrinkToFit="1"/>
    </xf>
    <xf numFmtId="0" fontId="12" fillId="0" borderId="28" xfId="3" applyFont="1" applyBorder="1" applyAlignment="1">
      <alignment horizontal="left"/>
    </xf>
    <xf numFmtId="0" fontId="12" fillId="12" borderId="28" xfId="3" applyFont="1" applyFill="1" applyBorder="1" applyAlignment="1">
      <alignment horizontal="center" vertical="center" wrapText="1" shrinkToFit="1"/>
    </xf>
    <xf numFmtId="0" fontId="9" fillId="0" borderId="28" xfId="3" applyFont="1" applyBorder="1" applyAlignment="1">
      <alignment horizontal="center" vertical="center" wrapText="1" shrinkToFit="1"/>
    </xf>
    <xf numFmtId="0" fontId="12" fillId="0" borderId="35" xfId="4" applyFont="1" applyBorder="1" applyAlignment="1">
      <alignment horizontal="left" vertical="center" shrinkToFit="1"/>
    </xf>
    <xf numFmtId="0" fontId="16" fillId="0" borderId="0" xfId="0" applyFont="1"/>
    <xf numFmtId="187" fontId="10" fillId="0" borderId="28" xfId="1" applyFont="1" applyBorder="1"/>
    <xf numFmtId="187" fontId="10" fillId="0" borderId="28" xfId="1" applyFont="1" applyBorder="1" applyAlignment="1">
      <alignment horizontal="center" vertical="center"/>
    </xf>
    <xf numFmtId="187" fontId="10" fillId="0" borderId="0" xfId="1" applyFont="1" applyBorder="1" applyAlignment="1">
      <alignment horizontal="center" vertical="center"/>
    </xf>
    <xf numFmtId="188" fontId="10" fillId="0" borderId="36" xfId="1" applyNumberFormat="1" applyFont="1" applyBorder="1"/>
    <xf numFmtId="188" fontId="10" fillId="0" borderId="37" xfId="1" applyNumberFormat="1" applyFont="1" applyBorder="1"/>
    <xf numFmtId="187" fontId="10" fillId="0" borderId="36" xfId="1" applyFont="1" applyBorder="1" applyAlignment="1">
      <alignment horizontal="right" vertical="center"/>
    </xf>
    <xf numFmtId="187" fontId="10" fillId="0" borderId="28" xfId="1" applyFont="1" applyBorder="1" applyAlignment="1">
      <alignment horizontal="right" vertical="center"/>
    </xf>
    <xf numFmtId="189" fontId="10" fillId="0" borderId="28" xfId="1" applyNumberFormat="1" applyFont="1" applyBorder="1"/>
    <xf numFmtId="0" fontId="17" fillId="0" borderId="0" xfId="0" applyFont="1"/>
    <xf numFmtId="0" fontId="12" fillId="2" borderId="28" xfId="3" applyFont="1" applyFill="1" applyBorder="1" applyAlignment="1">
      <alignment horizontal="center" vertical="center" wrapText="1" shrinkToFit="1"/>
    </xf>
    <xf numFmtId="187" fontId="11" fillId="0" borderId="28" xfId="1" applyFont="1" applyFill="1" applyBorder="1"/>
    <xf numFmtId="187" fontId="10" fillId="0" borderId="28" xfId="1" applyFont="1" applyFill="1" applyBorder="1"/>
    <xf numFmtId="187" fontId="10" fillId="0" borderId="28" xfId="1" applyFont="1" applyFill="1" applyBorder="1" applyAlignment="1">
      <alignment horizontal="center" vertical="center"/>
    </xf>
    <xf numFmtId="187" fontId="18" fillId="0" borderId="0" xfId="1" applyFont="1" applyBorder="1" applyAlignment="1">
      <alignment horizontal="center" vertical="center"/>
    </xf>
    <xf numFmtId="187" fontId="19" fillId="0" borderId="28" xfId="1" applyFont="1" applyBorder="1"/>
    <xf numFmtId="187" fontId="11" fillId="13" borderId="28" xfId="1" applyFont="1" applyFill="1" applyBorder="1"/>
    <xf numFmtId="187" fontId="11" fillId="0" borderId="28" xfId="1" applyFont="1" applyBorder="1"/>
    <xf numFmtId="9" fontId="10" fillId="0" borderId="37" xfId="2" applyFont="1" applyBorder="1"/>
    <xf numFmtId="187" fontId="0" fillId="0" borderId="0" xfId="0" applyNumberFormat="1"/>
    <xf numFmtId="187" fontId="20" fillId="13" borderId="28" xfId="1" applyFont="1" applyFill="1" applyBorder="1"/>
    <xf numFmtId="187" fontId="15" fillId="0" borderId="28" xfId="1" applyFont="1" applyFill="1" applyBorder="1"/>
    <xf numFmtId="187" fontId="10" fillId="7" borderId="36" xfId="1" applyFont="1" applyFill="1" applyBorder="1" applyAlignment="1">
      <alignment horizontal="right" vertical="center"/>
    </xf>
    <xf numFmtId="187" fontId="21" fillId="9" borderId="28" xfId="1" applyFont="1" applyFill="1" applyBorder="1"/>
    <xf numFmtId="187" fontId="15" fillId="0" borderId="28" xfId="1" applyFont="1" applyBorder="1" applyAlignment="1">
      <alignment horizontal="right" vertical="center"/>
    </xf>
    <xf numFmtId="187" fontId="15" fillId="0" borderId="28" xfId="1" applyFont="1" applyBorder="1"/>
    <xf numFmtId="187" fontId="22" fillId="0" borderId="28" xfId="5" applyFont="1" applyBorder="1" applyAlignment="1">
      <alignment horizontal="right" vertical="center"/>
    </xf>
    <xf numFmtId="0" fontId="1" fillId="0" borderId="0" xfId="6"/>
    <xf numFmtId="0" fontId="12" fillId="0" borderId="28" xfId="3" applyFont="1" applyBorder="1" applyAlignment="1">
      <alignment horizontal="left" vertical="center" wrapText="1" shrinkToFit="1"/>
    </xf>
    <xf numFmtId="0" fontId="12" fillId="0" borderId="35" xfId="3" applyFont="1" applyBorder="1" applyAlignment="1">
      <alignment horizontal="left" vertical="center" shrinkToFit="1"/>
    </xf>
    <xf numFmtId="0" fontId="13" fillId="6" borderId="0" xfId="0" applyFont="1" applyFill="1" applyAlignment="1">
      <alignment vertical="center" wrapText="1"/>
    </xf>
    <xf numFmtId="187" fontId="15" fillId="0" borderId="0" xfId="1" applyFont="1" applyBorder="1" applyAlignment="1">
      <alignment horizontal="center" vertical="center"/>
    </xf>
    <xf numFmtId="188" fontId="10" fillId="0" borderId="36" xfId="1" applyNumberFormat="1" applyFont="1" applyFill="1" applyBorder="1"/>
    <xf numFmtId="188" fontId="10" fillId="0" borderId="37" xfId="1" applyNumberFormat="1" applyFont="1" applyFill="1" applyBorder="1"/>
    <xf numFmtId="187" fontId="10" fillId="0" borderId="36" xfId="1" applyFont="1" applyFill="1" applyBorder="1" applyAlignment="1">
      <alignment horizontal="right" vertical="center"/>
    </xf>
    <xf numFmtId="187" fontId="10" fillId="0" borderId="28" xfId="1" applyFont="1" applyFill="1" applyBorder="1" applyAlignment="1">
      <alignment horizontal="right" vertical="center"/>
    </xf>
    <xf numFmtId="189" fontId="10" fillId="0" borderId="28" xfId="1" applyNumberFormat="1" applyFont="1" applyFill="1" applyBorder="1"/>
    <xf numFmtId="0" fontId="11" fillId="0" borderId="34" xfId="3" applyFont="1" applyBorder="1" applyAlignment="1">
      <alignment horizontal="center" vertical="center" shrinkToFit="1"/>
    </xf>
    <xf numFmtId="0" fontId="11" fillId="0" borderId="28" xfId="3" applyFont="1" applyBorder="1" applyAlignment="1">
      <alignment horizontal="center" vertical="center" shrinkToFit="1"/>
    </xf>
    <xf numFmtId="0" fontId="11" fillId="0" borderId="28" xfId="3" applyFont="1" applyBorder="1" applyAlignment="1">
      <alignment horizontal="left"/>
    </xf>
    <xf numFmtId="0" fontId="11" fillId="0" borderId="28" xfId="3" applyFont="1" applyBorder="1" applyAlignment="1">
      <alignment horizontal="left" vertical="center" wrapText="1" shrinkToFit="1"/>
    </xf>
    <xf numFmtId="0" fontId="11" fillId="0" borderId="35" xfId="3" applyFont="1" applyBorder="1" applyAlignment="1">
      <alignment horizontal="left" vertical="center" shrinkToFit="1"/>
    </xf>
    <xf numFmtId="0" fontId="11" fillId="14" borderId="38" xfId="3" applyFont="1" applyFill="1" applyBorder="1" applyAlignment="1">
      <alignment horizontal="center" vertical="center" shrinkToFit="1"/>
    </xf>
    <xf numFmtId="0" fontId="11" fillId="14" borderId="39" xfId="3" applyFont="1" applyFill="1" applyBorder="1" applyAlignment="1">
      <alignment horizontal="center" vertical="center" shrinkToFit="1"/>
    </xf>
    <xf numFmtId="187" fontId="8" fillId="14" borderId="39" xfId="1" applyFont="1" applyFill="1" applyBorder="1" applyAlignment="1">
      <alignment horizontal="center" vertical="center" shrinkToFit="1"/>
    </xf>
    <xf numFmtId="0" fontId="11" fillId="14" borderId="39" xfId="3" applyFont="1" applyFill="1" applyBorder="1" applyAlignment="1">
      <alignment horizontal="center"/>
    </xf>
    <xf numFmtId="0" fontId="12" fillId="14" borderId="39" xfId="3" applyFont="1" applyFill="1" applyBorder="1" applyAlignment="1">
      <alignment horizontal="center" vertical="center" wrapText="1" shrinkToFit="1"/>
    </xf>
    <xf numFmtId="0" fontId="15" fillId="14" borderId="39" xfId="3" applyFont="1" applyFill="1" applyBorder="1" applyAlignment="1">
      <alignment horizontal="center" vertical="center" wrapText="1" shrinkToFit="1"/>
    </xf>
    <xf numFmtId="0" fontId="15" fillId="14" borderId="40" xfId="3" applyFont="1" applyFill="1" applyBorder="1" applyAlignment="1">
      <alignment horizontal="center" vertical="center" shrinkToFit="1"/>
    </xf>
    <xf numFmtId="0" fontId="23" fillId="14" borderId="39" xfId="3" applyFont="1" applyFill="1" applyBorder="1" applyAlignment="1">
      <alignment horizontal="center" vertical="center" shrinkToFit="1"/>
    </xf>
    <xf numFmtId="188" fontId="8" fillId="14" borderId="41" xfId="1" applyNumberFormat="1" applyFont="1" applyFill="1" applyBorder="1" applyAlignment="1">
      <alignment horizontal="center" vertical="center" shrinkToFit="1"/>
    </xf>
    <xf numFmtId="9" fontId="8" fillId="14" borderId="42" xfId="2" applyFont="1" applyFill="1" applyBorder="1" applyAlignment="1">
      <alignment horizontal="center" vertical="center" shrinkToFit="1"/>
    </xf>
    <xf numFmtId="187" fontId="8" fillId="14" borderId="41" xfId="1" applyFont="1" applyFill="1" applyBorder="1" applyAlignment="1">
      <alignment horizontal="center" vertical="center" shrinkToFit="1"/>
    </xf>
    <xf numFmtId="189" fontId="8" fillId="14" borderId="39" xfId="1" applyNumberFormat="1" applyFont="1" applyFill="1" applyBorder="1" applyAlignment="1">
      <alignment horizontal="center" vertical="center" shrinkToFit="1"/>
    </xf>
    <xf numFmtId="0" fontId="11" fillId="0" borderId="0" xfId="3" applyFont="1" applyAlignment="1">
      <alignment vertical="center"/>
    </xf>
    <xf numFmtId="0" fontId="12" fillId="0" borderId="0" xfId="3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0" fillId="0" borderId="0" xfId="3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187" fontId="8" fillId="7" borderId="41" xfId="1" applyFont="1" applyFill="1" applyBorder="1" applyAlignment="1">
      <alignment horizontal="center" vertical="center" shrinkToFit="1"/>
    </xf>
    <xf numFmtId="0" fontId="3" fillId="0" borderId="46" xfId="3" applyFont="1" applyBorder="1" applyAlignment="1">
      <alignment vertical="center"/>
    </xf>
    <xf numFmtId="0" fontId="3" fillId="0" borderId="47" xfId="3" applyFont="1" applyBorder="1" applyAlignment="1">
      <alignment vertical="center"/>
    </xf>
    <xf numFmtId="0" fontId="3" fillId="0" borderId="48" xfId="3" applyFont="1" applyBorder="1" applyAlignment="1">
      <alignment vertical="center"/>
    </xf>
    <xf numFmtId="0" fontId="3" fillId="0" borderId="0" xfId="3" applyFont="1" applyBorder="1" applyAlignment="1">
      <alignment vertical="center"/>
    </xf>
    <xf numFmtId="0" fontId="12" fillId="0" borderId="49" xfId="3" applyFont="1" applyBorder="1" applyAlignment="1">
      <alignment horizontal="center" vertical="center" wrapText="1" shrinkToFit="1"/>
    </xf>
    <xf numFmtId="187" fontId="11" fillId="3" borderId="13" xfId="1" applyFont="1" applyFill="1" applyBorder="1" applyAlignment="1">
      <alignment horizontal="center" vertical="center" wrapText="1"/>
    </xf>
    <xf numFmtId="187" fontId="12" fillId="0" borderId="28" xfId="1" applyFont="1" applyBorder="1" applyAlignment="1">
      <alignment horizontal="center" vertical="center" wrapText="1" shrinkToFit="1"/>
    </xf>
    <xf numFmtId="189" fontId="12" fillId="0" borderId="28" xfId="1" applyNumberFormat="1" applyFont="1" applyBorder="1" applyAlignment="1">
      <alignment horizontal="center" vertical="center" wrapText="1" shrinkToFit="1"/>
    </xf>
    <xf numFmtId="0" fontId="12" fillId="0" borderId="50" xfId="3" applyFont="1" applyBorder="1" applyAlignment="1">
      <alignment horizontal="center" vertical="center" wrapText="1" shrinkToFit="1"/>
    </xf>
    <xf numFmtId="189" fontId="8" fillId="14" borderId="43" xfId="1" applyNumberFormat="1" applyFont="1" applyFill="1" applyBorder="1" applyAlignment="1">
      <alignment horizontal="center" vertical="center" shrinkToFit="1"/>
    </xf>
    <xf numFmtId="0" fontId="11" fillId="0" borderId="51" xfId="3" applyFont="1" applyBorder="1" applyAlignment="1">
      <alignment horizontal="center" vertical="center" shrinkToFit="1"/>
    </xf>
    <xf numFmtId="0" fontId="11" fillId="0" borderId="50" xfId="3" applyFont="1" applyBorder="1" applyAlignment="1">
      <alignment horizontal="center" vertical="center" shrinkToFit="1"/>
    </xf>
    <xf numFmtId="0" fontId="11" fillId="14" borderId="21" xfId="3" applyFont="1" applyFill="1" applyBorder="1" applyAlignment="1">
      <alignment horizontal="center" vertical="center" shrinkToFit="1"/>
    </xf>
    <xf numFmtId="189" fontId="8" fillId="14" borderId="22" xfId="1" applyNumberFormat="1" applyFont="1" applyFill="1" applyBorder="1" applyAlignment="1">
      <alignment horizontal="center" vertical="center" shrinkToFit="1"/>
    </xf>
    <xf numFmtId="188" fontId="12" fillId="0" borderId="49" xfId="3" applyNumberFormat="1" applyFont="1" applyBorder="1" applyAlignment="1">
      <alignment horizontal="center" vertical="center" wrapText="1" shrinkToFit="1"/>
    </xf>
    <xf numFmtId="188" fontId="12" fillId="0" borderId="28" xfId="3" applyNumberFormat="1" applyFont="1" applyBorder="1" applyAlignment="1">
      <alignment horizontal="center" vertical="center" wrapText="1" shrinkToFit="1"/>
    </xf>
    <xf numFmtId="188" fontId="12" fillId="0" borderId="50" xfId="3" applyNumberFormat="1" applyFont="1" applyBorder="1" applyAlignment="1">
      <alignment horizontal="center" vertical="center" wrapText="1" shrinkToFit="1"/>
    </xf>
    <xf numFmtId="188" fontId="12" fillId="0" borderId="52" xfId="3" applyNumberFormat="1" applyFont="1" applyBorder="1" applyAlignment="1">
      <alignment horizontal="center" vertical="center" wrapText="1" shrinkToFit="1"/>
    </xf>
    <xf numFmtId="188" fontId="12" fillId="0" borderId="53" xfId="3" applyNumberFormat="1" applyFont="1" applyBorder="1" applyAlignment="1">
      <alignment horizontal="center" vertical="center" wrapText="1" shrinkToFit="1"/>
    </xf>
    <xf numFmtId="188" fontId="12" fillId="0" borderId="36" xfId="3" applyNumberFormat="1" applyFont="1" applyBorder="1" applyAlignment="1">
      <alignment horizontal="center" vertical="center" wrapText="1" shrinkToFit="1"/>
    </xf>
    <xf numFmtId="188" fontId="12" fillId="0" borderId="37" xfId="3" applyNumberFormat="1" applyFont="1" applyBorder="1" applyAlignment="1">
      <alignment horizontal="center" vertical="center" wrapText="1" shrinkToFit="1"/>
    </xf>
    <xf numFmtId="188" fontId="12" fillId="0" borderId="54" xfId="3" applyNumberFormat="1" applyFont="1" applyBorder="1" applyAlignment="1">
      <alignment horizontal="center" vertical="center" wrapText="1" shrinkToFit="1"/>
    </xf>
    <xf numFmtId="188" fontId="12" fillId="0" borderId="55" xfId="3" applyNumberFormat="1" applyFont="1" applyBorder="1" applyAlignment="1">
      <alignment horizontal="center" vertical="center" wrapText="1" shrinkToFit="1"/>
    </xf>
    <xf numFmtId="190" fontId="8" fillId="14" borderId="1" xfId="1" applyNumberFormat="1" applyFont="1" applyFill="1" applyBorder="1" applyAlignment="1">
      <alignment horizontal="center" vertical="center" shrinkToFit="1"/>
    </xf>
    <xf numFmtId="189" fontId="8" fillId="14" borderId="3" xfId="1" applyNumberFormat="1" applyFont="1" applyFill="1" applyBorder="1" applyAlignment="1">
      <alignment horizontal="center" vertical="center" shrinkToFit="1"/>
    </xf>
    <xf numFmtId="188" fontId="10" fillId="0" borderId="37" xfId="1" applyNumberFormat="1" applyFont="1" applyBorder="1" applyAlignment="1">
      <alignment horizontal="right"/>
    </xf>
    <xf numFmtId="0" fontId="24" fillId="0" borderId="0" xfId="0" applyFont="1" applyBorder="1"/>
    <xf numFmtId="0" fontId="24" fillId="0" borderId="0" xfId="0" applyFont="1"/>
    <xf numFmtId="188" fontId="24" fillId="0" borderId="0" xfId="0" applyNumberFormat="1" applyFont="1"/>
    <xf numFmtId="187" fontId="12" fillId="0" borderId="49" xfId="1" applyFont="1" applyBorder="1" applyAlignment="1">
      <alignment horizontal="center" vertical="center" wrapText="1" shrinkToFit="1"/>
    </xf>
    <xf numFmtId="187" fontId="12" fillId="0" borderId="50" xfId="1" applyFont="1" applyBorder="1" applyAlignment="1">
      <alignment horizontal="center" vertical="center" wrapText="1" shrinkToFit="1"/>
    </xf>
    <xf numFmtId="187" fontId="10" fillId="9" borderId="13" xfId="1" applyFont="1" applyFill="1" applyBorder="1" applyAlignment="1">
      <alignment horizontal="center" vertical="center"/>
    </xf>
    <xf numFmtId="187" fontId="10" fillId="9" borderId="13" xfId="1" applyFont="1" applyFill="1" applyBorder="1" applyAlignment="1">
      <alignment horizontal="center" vertical="center" wrapText="1"/>
    </xf>
    <xf numFmtId="188" fontId="10" fillId="17" borderId="25" xfId="1" applyNumberFormat="1" applyFont="1" applyFill="1" applyBorder="1" applyAlignment="1">
      <alignment horizontal="center" vertical="top" wrapText="1"/>
    </xf>
    <xf numFmtId="188" fontId="10" fillId="17" borderId="26" xfId="1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0" xfId="0" applyFont="1"/>
    <xf numFmtId="187" fontId="5" fillId="0" borderId="0" xfId="1" applyFont="1" applyAlignment="1">
      <alignment horizontal="center"/>
    </xf>
    <xf numFmtId="188" fontId="5" fillId="0" borderId="0" xfId="1" applyNumberFormat="1" applyFont="1" applyAlignment="1">
      <alignment horizontal="center"/>
    </xf>
    <xf numFmtId="187" fontId="24" fillId="0" borderId="0" xfId="1" applyFont="1"/>
    <xf numFmtId="187" fontId="8" fillId="14" borderId="43" xfId="1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/>
    </xf>
    <xf numFmtId="0" fontId="27" fillId="0" borderId="0" xfId="0" applyFont="1"/>
    <xf numFmtId="188" fontId="27" fillId="0" borderId="0" xfId="0" applyNumberFormat="1" applyFont="1"/>
    <xf numFmtId="0" fontId="29" fillId="0" borderId="0" xfId="0" applyFont="1"/>
    <xf numFmtId="187" fontId="10" fillId="3" borderId="1" xfId="1" applyFont="1" applyFill="1" applyBorder="1" applyAlignment="1">
      <alignment horizontal="center"/>
    </xf>
    <xf numFmtId="187" fontId="10" fillId="3" borderId="3" xfId="1" applyFont="1" applyFill="1" applyBorder="1" applyAlignment="1">
      <alignment horizontal="center"/>
    </xf>
    <xf numFmtId="187" fontId="14" fillId="4" borderId="1" xfId="1" applyFont="1" applyFill="1" applyBorder="1" applyAlignment="1">
      <alignment horizontal="center"/>
    </xf>
    <xf numFmtId="187" fontId="14" fillId="4" borderId="3" xfId="1" applyFont="1" applyFill="1" applyBorder="1" applyAlignment="1">
      <alignment horizontal="center"/>
    </xf>
    <xf numFmtId="187" fontId="14" fillId="5" borderId="1" xfId="1" applyFont="1" applyFill="1" applyBorder="1" applyAlignment="1">
      <alignment horizontal="center"/>
    </xf>
    <xf numFmtId="187" fontId="14" fillId="5" borderId="3" xfId="1" applyFont="1" applyFill="1" applyBorder="1" applyAlignment="1">
      <alignment horizontal="center"/>
    </xf>
    <xf numFmtId="0" fontId="4" fillId="0" borderId="2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 shrinkToFit="1"/>
    </xf>
    <xf numFmtId="0" fontId="8" fillId="0" borderId="11" xfId="3" applyFont="1" applyBorder="1" applyAlignment="1">
      <alignment horizontal="center" vertical="center" wrapText="1" shrinkToFit="1"/>
    </xf>
    <xf numFmtId="0" fontId="8" fillId="0" borderId="15" xfId="3" applyFont="1" applyBorder="1" applyAlignment="1">
      <alignment horizontal="center" vertical="center" wrapText="1" shrinkToFit="1"/>
    </xf>
    <xf numFmtId="0" fontId="8" fillId="0" borderId="5" xfId="3" applyFont="1" applyBorder="1" applyAlignment="1">
      <alignment horizontal="center" vertical="center" wrapText="1" shrinkToFit="1"/>
    </xf>
    <xf numFmtId="0" fontId="8" fillId="0" borderId="12" xfId="3" applyFont="1" applyBorder="1" applyAlignment="1">
      <alignment horizontal="center" vertical="center" wrapText="1" shrinkToFit="1"/>
    </xf>
    <xf numFmtId="0" fontId="8" fillId="0" borderId="16" xfId="3" applyFont="1" applyBorder="1" applyAlignment="1">
      <alignment horizontal="center" vertical="center" wrapText="1" shrinkToFit="1"/>
    </xf>
    <xf numFmtId="0" fontId="9" fillId="0" borderId="6" xfId="3" applyFont="1" applyBorder="1" applyAlignment="1">
      <alignment horizontal="center" vertical="center" wrapText="1" shrinkToFit="1"/>
    </xf>
    <xf numFmtId="0" fontId="9" fillId="0" borderId="7" xfId="3" applyFont="1" applyBorder="1" applyAlignment="1">
      <alignment horizontal="center" vertical="center" wrapText="1" shrinkToFit="1"/>
    </xf>
    <xf numFmtId="0" fontId="9" fillId="0" borderId="8" xfId="3" applyFont="1" applyBorder="1" applyAlignment="1">
      <alignment horizontal="center" vertical="center" wrapText="1" shrinkToFit="1"/>
    </xf>
    <xf numFmtId="0" fontId="8" fillId="0" borderId="10" xfId="3" applyFont="1" applyBorder="1" applyAlignment="1">
      <alignment horizontal="center" vertical="center" wrapText="1" shrinkToFit="1"/>
    </xf>
    <xf numFmtId="0" fontId="8" fillId="0" borderId="14" xfId="3" applyFont="1" applyBorder="1" applyAlignment="1">
      <alignment horizontal="center" vertical="center" wrapText="1" shrinkToFit="1"/>
    </xf>
    <xf numFmtId="0" fontId="8" fillId="0" borderId="18" xfId="3" applyFont="1" applyBorder="1" applyAlignment="1">
      <alignment horizontal="center" vertical="center" wrapText="1" shrinkToFit="1"/>
    </xf>
    <xf numFmtId="0" fontId="12" fillId="0" borderId="12" xfId="3" applyFont="1" applyBorder="1" applyAlignment="1">
      <alignment horizontal="center" vertical="center" wrapText="1" shrinkToFit="1"/>
    </xf>
    <xf numFmtId="0" fontId="12" fillId="0" borderId="16" xfId="3" applyFont="1" applyBorder="1" applyAlignment="1">
      <alignment horizontal="center" vertical="center" wrapText="1" shrinkToFit="1"/>
    </xf>
    <xf numFmtId="0" fontId="8" fillId="0" borderId="44" xfId="3" applyFont="1" applyBorder="1" applyAlignment="1">
      <alignment horizontal="center" vertical="center" wrapText="1" shrinkToFit="1"/>
    </xf>
    <xf numFmtId="0" fontId="8" fillId="0" borderId="30" xfId="3" applyFont="1" applyBorder="1" applyAlignment="1">
      <alignment horizontal="center" vertical="center" wrapText="1" shrinkToFit="1"/>
    </xf>
    <xf numFmtId="0" fontId="8" fillId="0" borderId="45" xfId="3" applyFont="1" applyBorder="1" applyAlignment="1">
      <alignment horizontal="center" vertical="center" wrapText="1" shrinkToFit="1"/>
    </xf>
    <xf numFmtId="0" fontId="25" fillId="16" borderId="1" xfId="0" applyFont="1" applyFill="1" applyBorder="1" applyAlignment="1">
      <alignment horizontal="center"/>
    </xf>
    <xf numFmtId="0" fontId="25" fillId="16" borderId="3" xfId="0" applyFont="1" applyFill="1" applyBorder="1" applyAlignment="1">
      <alignment horizontal="center"/>
    </xf>
    <xf numFmtId="187" fontId="25" fillId="15" borderId="1" xfId="1" applyFont="1" applyFill="1" applyBorder="1" applyAlignment="1">
      <alignment horizontal="center"/>
    </xf>
    <xf numFmtId="187" fontId="25" fillId="15" borderId="3" xfId="1" applyFont="1" applyFill="1" applyBorder="1" applyAlignment="1">
      <alignment horizontal="center"/>
    </xf>
    <xf numFmtId="187" fontId="25" fillId="16" borderId="1" xfId="1" applyFont="1" applyFill="1" applyBorder="1" applyAlignment="1">
      <alignment horizontal="center"/>
    </xf>
    <xf numFmtId="187" fontId="25" fillId="16" borderId="3" xfId="1" applyFont="1" applyFill="1" applyBorder="1" applyAlignment="1">
      <alignment horizontal="center"/>
    </xf>
  </cellXfs>
  <cellStyles count="7">
    <cellStyle name="Comma" xfId="1" builtinId="3"/>
    <cellStyle name="Comma 2 2 2" xfId="5" xr:uid="{00000000-0005-0000-0000-000001000000}"/>
    <cellStyle name="Normal" xfId="0" builtinId="0"/>
    <cellStyle name="Normal 2 2" xfId="4" xr:uid="{00000000-0005-0000-0000-000003000000}"/>
    <cellStyle name="Normal 2 2 2" xfId="3" xr:uid="{00000000-0005-0000-0000-000004000000}"/>
    <cellStyle name="Normal 20" xfId="6" xr:uid="{00000000-0005-0000-0000-000005000000}"/>
    <cellStyle name="Percent" xfId="2" builtinId="5"/>
  </cellStyles>
  <dxfs count="10">
    <dxf>
      <fill>
        <patternFill>
          <bgColor rgb="FF9999FF"/>
        </patternFill>
      </fill>
    </dxf>
    <dxf>
      <font>
        <color auto="1"/>
      </font>
      <fill>
        <patternFill>
          <bgColor rgb="FFF3A67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99FF"/>
        </patternFill>
      </fill>
    </dxf>
    <dxf>
      <font>
        <color auto="1"/>
      </font>
      <fill>
        <patternFill>
          <bgColor rgb="FFF3A67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lor auto="1"/>
      </font>
      <fill>
        <patternFill>
          <bgColor rgb="FFF3A67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calcChain" Target="calcChain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526473</xdr:colOff>
      <xdr:row>4</xdr:row>
      <xdr:rowOff>110836</xdr:rowOff>
    </xdr:from>
    <xdr:to>
      <xdr:col>17</xdr:col>
      <xdr:colOff>942110</xdr:colOff>
      <xdr:row>4</xdr:row>
      <xdr:rowOff>471054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5339753" y="1627216"/>
          <a:ext cx="415637" cy="360218"/>
        </a:xfrm>
        <a:prstGeom prst="down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581891</xdr:colOff>
      <xdr:row>4</xdr:row>
      <xdr:rowOff>83127</xdr:rowOff>
    </xdr:from>
    <xdr:to>
      <xdr:col>18</xdr:col>
      <xdr:colOff>997528</xdr:colOff>
      <xdr:row>4</xdr:row>
      <xdr:rowOff>443345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751531" y="1599507"/>
          <a:ext cx="415637" cy="360218"/>
        </a:xfrm>
        <a:prstGeom prst="down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44032;&#45208;RFCC\&#54644;&#50808;&#44592;&#51456;\GHANA&#50696;&#49328;&#44592;&#51456;\DATA\SAN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:/D:/NEW%20PLENO/file:/Salaya2/d_salaya2/WINDOWS/TEMP/Cos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aya2\d_salaya2\WINDOWS\TEMP\Cost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FORM-BQ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\PROJECT2004\TU-2003-98\TU-2003\TU-2003\DELTA-5\Del-21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efer-Price-Pad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owaluk_s\AppData\Local\Microsoft\Windows\Temporary%20Internet%20Files\Content.Outlook\8LLQ00MF\BIDDING%202013\7.Honda%20showroom%20Car%20wash%20Pattanakarn\Blank%20Form%20BOQ-BUAYAI-14-02-13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engpeth\c\WINDOWS\Desktop\Reduced%20Work\SAN-C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49;&#49688;&#44221;\&#44204;&#51201;\&#44552;&#54840;\&#44552;&#54840;\&#44277;&#49324;&#44288;&#47532;\&#51652;&#54665;&#54788;&#51109;\KCI&#49849;&#50517;&#44277;&#49324;\My%20Documents\JOB\FORM\&#46020;&#44553;&#49892;&#5466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&#3648;&#3626;&#3609;&#3629;&#3619;&#3634;&#3588;&#3634;-%20(&#3626;&#3641;&#3605;&#3619;)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WEE/Data%20Wee/&#3649;&#3610;&#3610;&#3615;&#3629;&#3619;&#3660;&#3617;%20Take%20off/&#3649;&#3610;&#3610;&#3615;&#3629;&#3619;&#3660;&#3617;&#3591;&#3634;&#3609;&#3626;&#3606;&#3634;&#3611;&#3633;&#3605;&#3618;&#3660;/BOQ%20EMC23-9-09/BOQ_EMC&#3648;&#3594;&#3637;&#3618;&#3591;&#3651;&#3627;&#3617;&#3656;%202,189%20(DC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&#3591;&#3634;&#3609;%202010\8.%20TOA\BOQ%20Malibu%20Khao%20Tao%20(&#3626;&#3627;&#3585;&#3634;&#3619;,EMC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Nuy/&#3586;&#3657;&#3629;&#3617;&#3641;&#3621;&#3611;&#3637;%2048/&#3619;&#3633;&#3657;&#3623;/SEACON/SC/Price/PIL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5CA1971\Doc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619;&#3611;&#3607;.&#3619;&#3632;&#3618;&#3632;2\&#3605;&#3619;&#3623;&#3592;&#3619;&#3633;&#3610;&#3591;&#3634;&#3609;\Documents%20and%20Settings\%5e_%5e\Desktop\&#3619;&#3611;&#3607;.&#3614;&#3639;&#3657;&#3609;&#3607;&#3637;&#3656;&#3594;&#3640;&#3617;&#3594;&#3609;&#3629;&#3656;&#3634;&#3591;&#3607;&#3629;&#3591;\&#3611;&#3619;&#3632;&#3592;&#3635;&#3648;&#3604;&#3639;&#3629;&#3609;\Documents%20and%20Settings\Administrator\My%20Documents\Project%20Name\&#3624;&#3634;&#3621;&#3611;&#3585;&#3588;&#3619;&#3629;&#3591;&#3626;&#3591;&#3586;&#3621;&#3634;\Revise%20BOQ&#3624;&#3634;&#3621;&#3611;&#3585;&#3588;&#3619;&#3629;&#3591;&#3626;&#3591;&#3586;&#3621;&#363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CHALERMKHWAN/1.%20%20Work%202551%20EMC/21.%20&#3617;&#3627;&#3634;&#3623;&#3636;&#3607;&#3618;&#3634;&#3621;&#3633;&#3618;&#3648;&#3607;&#3588;&#3650;&#3609;&#3650;&#3621;&#3618;&#3637;&#3619;&#3634;&#3594;&#3617;&#3591;&#3588;&#3621;&#3626;&#3640;&#3623;&#3619;&#3619;&#3603;&#3616;&#3641;&#3617;&#3636;/BOQ_&#3648;&#3607;&#3588;&#3650;&#3609;&#3650;&#3621;&#3618;&#3637;%20&#3626;&#3640;&#3623;&#3619;&#3619;&#3603;&#3616;&#3641;&#3617;&#3636;_(Rev.6)_Update_DC_&#3605;&#3633;&#3604;&#3591;&#3634;&#3609;&#3616;&#3634;&#3618;&#3609;&#3629;&#358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\documents\Documents%20and%20Settings\All%20Users.WINDOWS\Documents\Documents%20and%20Settings\All%20Users.WINDOWS\Documents\Documents%20and%20Settings\02\Desktop\PARKPLAZA\Plan-45\A44-02(&#3624;&#3634;&#3621;&#3631;)\Cost-29-4-02\Plan-44\A44-02\EL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8j7j0\hc2\HOFFICE\TMP\~TMP2494.$$$\pum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kt/LOCALS~1/Temp/Rar$DI00.610/My%20Documents/Projects/Samui%20Village/4.0)%20Variation%20Works/Timber%20painti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DeskTop_SC/COPY/SC_TEMP/UNIT_PRICE_STANDARD%20(version%201)_22-03-4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3591;&#3634;&#3609;&#3619;&#3634;&#3594;&#3585;&#3634;&#3619;\&#3619;&#3634;&#3594;&#3585;&#3634;&#3619;\&#3585;&#3619;&#3617;&#3605;&#3656;&#3634;&#3591;&#3654;\&#3626;&#3635;&#3609;&#3633;&#3585;&#3591;&#3634;&#3609;&#3611;&#3621;&#3633;&#3604;&#3631;\&#3627;&#3657;&#3629;&#3591;&#3611;&#3619;&#3632;&#3594;&#3640;&#3617;%20&#3626;&#3606;&#3634;&#3610;&#3633;&#3609;&#3614;&#3619;&#3632;&#3610;&#3619;&#3617;&#3619;&#3634;&#3594;&#3609;&#3585;%201035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DeskTop_SC/COPY/SC_TEMP/BOY/PILE_Burana_08-11-4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1\Libary\Documents%20and%20Settings\sa\My%20Documents\WINDOWS\Temporary%20Internet%20Files\Content.IE5\ELJSD4RM\cove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Nuy/&#3619;&#3634;&#3588;&#3634;/&#3611;&#3619;&#3632;&#3605;&#3641;-&#3627;&#3609;&#3657;&#3634;&#3605;&#3656;&#3634;&#3591;/Cost_D&amp;W_SOR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Gay\BOQ.&#3585;&#3621;&#3634;&#3591;\B.O.Q.&#3607;&#3634;&#3623;&#3609;&#3660;&#3648;&#3630;&#3657;&#3634;&#3626;&#3660;%20N2%202548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m\J\Projects\D175a%20to%20D186\D179%20Central%20World%20Plaza%20(CBD)\D179a%20CWP(D&amp;F)\Pre-Contract\3)%20Pre-Tender%20Estimate\M&amp;E%20Zone%20D&amp;F\No2\Purchase%20Order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a-twarya\Personal\INVOICEprototype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vcenter.POWERLINEGROUP/Application%20Data/Microsoft/Excel/Boq%20&#3648;&#3611;&#3621;&#3656;&#3634;&#3619;&#3633;&#3610;&#3617;&#3634;%2021-8-5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47\m.e.\ESTIMATE\PROJECT\TENDER\YAKULT\EST_AC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&#51221;&#54868;&#51312;&#49444;&#44228;(&#52572;&#51333;&#49849;&#51064;)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A6742D8\Revise%20BOQ&#3624;&#3634;&#3621;&#3611;&#3585;&#3588;&#3619;&#3629;&#3591;&#3626;&#3591;&#3586;&#3621;&#363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204;&#44592;&#49328;&#52636;&#44540;&#4414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Nuy/&#3619;&#3634;&#3588;&#3634;/Cost_D&amp;W_SOR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JECT\SBIA\5JUNE00\TKC-NET\AC\PACKAGE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88;&#3640;&#3603;&#3623;&#3636;&#3594;&#3633;&#3618;%20&#3648;&#3607;&#3614;&#3585;&#3640;&#3603;&#3627;&#3609;&#3636;&#3617;&#3636;&#3605;&#3605;&#3660;\DeskTop_SC\COPY\SC_TEMP\BOY\PILE_Burana_12-01-4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ranucpr/AppData/Local/Microsoft/Windows/Temporary%20Internet%20Files/Content.Outlook/2FSLRG0Z/Plant%20information%20(All)%20v2%20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ngsumalin\shareddocs\Documents%20and%20Settings\Mr.D\My%20Documents\INDEX%20&#3626;&#3606;&#3634;&#3611;&#3633;&#3605;&#3618;&#3660;\&#3591;&#3634;&#3609;&#3648;&#3614;&#3636;&#3656;&#3617;&#3648;&#3605;&#3636;&#3617;%20&#3619;&#3614;.&#3616;&#3641;&#3648;&#3585;&#3655;&#3605;\&#3591;&#3634;&#3609;&#3648;&#3626;&#3609;&#3629;&#3619;&#3634;&#3588;&#3634;&#3649;&#3621;&#3657;&#3623;\&#3591;&#3634;&#3609;&#3650;&#3588;&#3619;&#3591;&#3626;&#3619;&#3657;&#3634;&#3591;-&#3626;&#3606;&#3634;&#3611;&#3633;&#3605;&#3618;&#3660;\ESTIMATE\BOQ\BOQ_&#3648;&#3629;&#3585;&#3594;&#3609;\BIG-C\Radamri_rev106\Bill%20No.%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4048;&#47532;&#51089;&#50629;\&#49884;&#44277;&#44228;&#5492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Documents%20and%20Settings\saknarong\Local%20Settings\Temporary%20Internet%20Files\OLKB9\BQ%20-%20ST_Island_R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689;&#51452;\2000\007&#44277;&#44277;&#44592;&#44288;&#51452;&#48320;&#45433;&#54868;&#49324;&#50629;\&#45225;&#54408;&#46020;&#49436;1129\&#45433;&#54868;&#49324;&#50629;-&#49884;&#47549;&#48149;&#47932;&#4428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temp/BOQ_Cost_150147_Prin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Project\IVY%20CHAINA%20TOWN\Boq\PROJECT\S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uwat\zsomsak-1\ESTIMAT\HOUSE-G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94F418\ELE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%202000%20.xls\Somchai1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PS\A02-Ivy%20&#3619;&#3634;&#3625;&#3598;&#3619;&#3660;&#3610;&#3641;&#3619;&#3603;&#3632;\&#3629;&#3634;&#3588;&#3634;&#3619;%20A\DevPgm\erp\2006\2006%20&#3611;&#3619;&#3633;&#3610;&#3611;&#3619;&#3640;&#3591;&#3619;&#3632;&#3610;&#3610;&#3585;&#3634;&#3619;%20import%20WBS%20&#3651;&#3609;%20Softpro\upload\20070321\DATA-EXPORT_PK-28-2_2-3-5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attakhan/Local%20Settings/Temporary%20Internet%20Files/Content.Outlook/0E64TSV7/&#3591;&#3634;&#3609;&#3619;&#3634;&#3594;&#3585;&#3634;&#3619;/&#3619;&#3634;&#3594;&#3585;&#3634;&#3619;/&#3585;&#3619;&#3617;&#3605;&#3656;&#3634;&#3591;&#3654;/&#3626;&#3635;&#3609;&#3633;&#3585;&#3591;&#3634;&#3609;&#3611;&#3621;&#3633;&#3604;&#3631;/&#3627;&#3657;&#3629;&#3591;&#3611;&#3619;&#3632;&#3594;&#3640;&#3617;%20&#3626;&#3606;&#3634;&#3610;&#3633;&#3609;&#3614;&#3619;&#3632;&#3610;&#3619;&#3617;&#3619;&#3634;&#3594;&#3609;&#3585;%201035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ll%20Users.WINDOWS\Documents\Documents%20and%20Settings\All%20Users.WINDOWS\Documents\Documents%20and%20Settings\02\Desktop\PARKPLAZA\Plan-45\A44-02(&#3624;&#3634;&#3621;&#3631;)\Cost-29-4-02\Plan-44\A44-02\EL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s\Doc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45224;&#51068;&#5094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산근"/>
      <sheetName val="配管単価"/>
      <sheetName val="Mat"/>
      <sheetName val="제출계산서"/>
      <sheetName val="tifico"/>
      <sheetName val="집계표(OPTION)"/>
      <sheetName val="OPTION 2"/>
      <sheetName val="OPTION 3"/>
      <sheetName val="Sheet2"/>
      <sheetName val="Sheet3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집계표_OPTION_"/>
      <sheetName val="_REF"/>
      <sheetName val="당초"/>
      <sheetName val="단가(자재)"/>
      <sheetName val="단가(노임)"/>
      <sheetName val="기초목록"/>
      <sheetName val="노임단가"/>
      <sheetName val="???"/>
      <sheetName val="집계표 (25,26ဩ"/>
      <sheetName val="예산"/>
      <sheetName val="영업3"/>
      <sheetName val="영업2"/>
      <sheetName val="BQ_Utl_Off"/>
      <sheetName val="수입"/>
      <sheetName val="VC2 10.99"/>
      <sheetName val="inter"/>
      <sheetName val="Sheet1"/>
      <sheetName val="KP1590_E"/>
      <sheetName val="1월"/>
      <sheetName val="Form 0"/>
      <sheetName val="COVER"/>
      <sheetName val="BQMPALOC"/>
      <sheetName val="공문"/>
      <sheetName val="금액내역서"/>
      <sheetName val="INPUT DATA"/>
      <sheetName val="»ê±Ù"/>
      <sheetName val="BD集計用"/>
      <sheetName val="ERECIN"/>
      <sheetName val="연돌일위집계"/>
      <sheetName val="??"/>
      <sheetName val="___"/>
      <sheetName val="General Data"/>
      <sheetName val="갑지"/>
      <sheetName val="세금자료"/>
      <sheetName val="12CGOU"/>
      <sheetName val="경영혁신본부"/>
      <sheetName val="95삼성급(본사)"/>
      <sheetName val="Final(1)summary"/>
      <sheetName val="DESCRIPTION"/>
      <sheetName val="Form D-1"/>
      <sheetName val="Form B-1"/>
      <sheetName val="Form F-1"/>
      <sheetName val="Assist(B-1)"/>
      <sheetName val="Form A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LABOR &amp; 자재"/>
      <sheetName val="제작도"/>
      <sheetName val="SANDAN"/>
      <sheetName val="CB"/>
      <sheetName val="주간기성"/>
      <sheetName val="__"/>
      <sheetName val="DRUM"/>
      <sheetName val="eq_data"/>
      <sheetName val="입출재고현황 (2)"/>
      <sheetName val="DHEQSUPT"/>
      <sheetName val="SALA-002"/>
      <sheetName val="뜃맟뭁돽띿맟?-BLDG"/>
      <sheetName val="INPUT_DATA"/>
      <sheetName val="General_Data"/>
      <sheetName val="집계표_(25,26ဩ"/>
      <sheetName val="Form_0"/>
      <sheetName val="TTL"/>
      <sheetName val="노임단가표"/>
      <sheetName val="간접비 총괄"/>
      <sheetName val="ESCON"/>
      <sheetName val="뜃맟뭁돽띿맟_-BLDG"/>
      <sheetName val="M-EQPT-Z"/>
      <sheetName val="기성내역"/>
      <sheetName val="???(OPTION)"/>
      <sheetName val="B"/>
      <sheetName val="3.공통공사대비"/>
      <sheetName val="POWER"/>
      <sheetName val="물량"/>
      <sheetName val="WEIGHT LIST"/>
      <sheetName val="산#2-1 (2)"/>
      <sheetName val="POL6차-PIPING"/>
      <sheetName val="산#3-1"/>
      <sheetName val="BEND LOSS"/>
      <sheetName val="IN"/>
      <sheetName val="Price Schedule"/>
      <sheetName val="간접비내역-1"/>
      <sheetName val="Lup2"/>
      <sheetName val="당진1,2호기전선관설치및접지4차공사내역서-을지"/>
      <sheetName val="h-013211-2"/>
      <sheetName val="내역ࠜĀ_x0000_M4)"/>
      <sheetName val="BOROUGE2"/>
      <sheetName val="내역서 耰&quot;_x0000__x0000_"/>
      <sheetName val="_x0008_"/>
      <sheetName val="비교검토"/>
      <sheetName val="PRICES"/>
      <sheetName val="INSTR"/>
      <sheetName val="Q&amp;pl-V"/>
      <sheetName val="合成単価作成表-BLDG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Rate Analysis"/>
      <sheetName val="F4-F7"/>
      <sheetName val="표지"/>
      <sheetName val="Cash2"/>
      <sheetName val="Z"/>
      <sheetName val="WE'T"/>
      <sheetName val="6PILE  (돌출)"/>
      <sheetName val="내역서 耰&quot;??"/>
      <sheetName val="CTEMCOST"/>
      <sheetName val="EQUIPMENT -2"/>
      <sheetName val="EQUIP"/>
      <sheetName val="찍기"/>
      <sheetName val="실행"/>
      <sheetName val="24V"/>
      <sheetName val="A"/>
      <sheetName val="jobhist"/>
      <sheetName val="LEGEND"/>
      <sheetName val="내역ࠜĀ_x005f_x0000_M4)"/>
      <sheetName val="공사비 내역 (가)"/>
      <sheetName val="내역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내역ࠜĀ"/>
      <sheetName val="___(OPTION)"/>
      <sheetName val="Static Equip"/>
      <sheetName val="CAT_5"/>
      <sheetName val="단면 (2)"/>
      <sheetName val="Form A "/>
      <sheetName val="PROCURE"/>
      <sheetName val="3.Breakdown Direct Paint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Spl"/>
      <sheetName val="내역서 耰&quot;_x005f_x0000__x005f_x0000_"/>
      <sheetName val="_x005f_x0008_"/>
      <sheetName val="BID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입출재고현황_(2)"/>
      <sheetName val="3_공통공사대비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Sheet6"/>
      <sheetName val="갑지(추정)"/>
      <sheetName val="SOURCE"/>
      <sheetName val="ELEC_DCI"/>
      <sheetName val="당초내역서"/>
      <sheetName val="DATA"/>
      <sheetName val="기계내역서"/>
      <sheetName val="고압수량(철거)"/>
      <sheetName val="Compare"/>
      <sheetName val="Quantity"/>
      <sheetName val="내역서 耰&quot;__"/>
      <sheetName val="Summary Sheets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간접비_총괄"/>
      <sheetName val="Price_Schedule"/>
      <sheetName val="내역서_耰&quot;"/>
      <sheetName val="EQUIPMENT_-2"/>
      <sheetName val="CAL_"/>
      <sheetName val="Rate_Analysis"/>
      <sheetName val="내역서_耰&quot;??"/>
      <sheetName val="PBS"/>
      <sheetName val="내역ࠜĀ?M4)"/>
      <sheetName val="경영혁신본뷀"/>
      <sheetName val="electrical"/>
      <sheetName val="2.2 STAFF Scedule"/>
      <sheetName val="입력시트"/>
      <sheetName val="수주추정"/>
      <sheetName val="견적"/>
      <sheetName val="내역ࠜĀ_x005f_x005f_x005f_x0000_M4)"/>
      <sheetName val="내역서 耰&quot;_x005f_x005f_x005f_x0000__x005f_x005f_x0000"/>
      <sheetName val="_x005f_x005f_x005f_x0008_"/>
      <sheetName val="9906"/>
      <sheetName val="계측 내역서"/>
      <sheetName val="EQUIPOS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직재"/>
      <sheetName val="I一般比"/>
      <sheetName val="AILC004"/>
      <sheetName val="CIVIL"/>
      <sheetName val="ERECT"/>
      <sheetName val="PROSUM"/>
      <sheetName val="내역서_耰&quot;__"/>
      <sheetName val="내역ࠜĀ_M4)"/>
      <sheetName val="7. 월별투입내역서"/>
      <sheetName val="Insts"/>
      <sheetName val="Vind - BtB"/>
      <sheetName val="LV induction motors"/>
      <sheetName val="인원계획"/>
      <sheetName val="BSD (2)"/>
      <sheetName val="Sheet1 (2)"/>
      <sheetName val="수로보호공"/>
      <sheetName val="데이타"/>
      <sheetName val="식재인부"/>
      <sheetName val="BM DATA SHEET"/>
      <sheetName val="입찰품의서"/>
      <sheetName val="Z- GENERAL PRICE SUMMARY"/>
      <sheetName val=" Estimate  "/>
      <sheetName val="SummaryC"/>
      <sheetName val="Detail"/>
      <sheetName val="인부신상자료"/>
      <sheetName val="cable-data"/>
      <sheetName val="T 3"/>
      <sheetName val="HORI. VESSEL"/>
      <sheetName val="PI"/>
      <sheetName val="EQUIP LIST"/>
      <sheetName val="cable"/>
      <sheetName val="Sheet4"/>
      <sheetName val="Form B"/>
      <sheetName val="Resumen"/>
      <sheetName val="Precios Unitarios"/>
      <sheetName val="BCPAB"/>
      <sheetName val="Administrative Prices"/>
      <sheetName val="Calc"/>
      <sheetName val="WBS 44"/>
      <sheetName val="WBS 41"/>
      <sheetName val="Precios por Administración"/>
      <sheetName val="Subcon A"/>
      <sheetName val="MP MOB"/>
      <sheetName val="내역서"/>
      <sheetName val="배관내역"/>
      <sheetName val="_x0002__x0000_뻘N_x0000__x0000__x0001_ࠀ역서"/>
      <sheetName val="Discounted Cash Flow"/>
      <sheetName val=""/>
      <sheetName val="내역서 耰&quot;"/>
      <sheetName val="_x0002_"/>
      <sheetName val="Lstsub"/>
      <sheetName val="[SANDAN.XLS??"/>
      <sheetName val="Piping BQ for one turbine"/>
      <sheetName val="Hot"/>
      <sheetName val="Direct"/>
      <sheetName val="FORM-12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BATCH"/>
      <sheetName val="trf(36%)"/>
      <sheetName val="sum"/>
      <sheetName val="Summary"/>
      <sheetName val="All_2"/>
      <sheetName val="Monthly Load"/>
      <sheetName val="Weekly Load"/>
      <sheetName val="_x0002_?뻘N??_x0001_ࠀ역서"/>
      <sheetName val="Utility and Fire flange"/>
      <sheetName val="_SANDAN.XLS__"/>
      <sheetName val="97 사업추정(WEKI)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ศูนย์การแพทย์"/>
      <sheetName val="หอพักผู้ป่วย"/>
      <sheetName val="อาคารบริการ"/>
      <sheetName val="สรศป"/>
      <sheetName val="FR"/>
      <sheetName val="Cost2"/>
      <sheetName val="Sheet1"/>
      <sheetName val="#REF"/>
      <sheetName val="封面 "/>
      <sheetName val="粉刷"/>
      <sheetName val="裝修"/>
      <sheetName val="風管工程"/>
      <sheetName val="合約價"/>
      <sheetName val="วัดใต้"/>
      <sheetName val="산근"/>
      <sheetName val="ราคาต่อหน่วย2-9"/>
      <sheetName val="รวมราคาทั้งสิ้น"/>
      <sheetName val="????"/>
      <sheetName val="SUMMERY (BOQ)"/>
      <sheetName val="FIRST FLOOR"/>
      <sheetName val="SECOND FLOOR"/>
      <sheetName val="3RD FLOOR"/>
      <sheetName val="4 TH FLOOR"/>
      <sheetName val="1ST-4TH DOOR WORK"/>
      <sheetName val="1ST-4TH MAIL&amp;FEMALE TOILET"/>
      <sheetName val="5THFLOOR LIFT LOBBY&amp;CORRIDOR"/>
      <sheetName val="Back Up"/>
      <sheetName val="Matt_Guest"/>
      <sheetName val="_x0000__x0000__x0000__x0000__x0000_@_x001c__x0014__x0000__x0000__x0000__x0000__x0000__x0002__x0011__x0014__x0000__x0000__x0000__x0000__x0000_ñCe?_x0001__x0000__x0000__x0000_0_x0000_"/>
      <sheetName val=""/>
      <sheetName val="SUM-AIR-Submit"/>
      <sheetName val="FAB별"/>
      <sheetName val="?????@_x001c__x0014_?????_x0002__x0011__x0014_?????ñCe?_x0001_???0?"/>
      <sheetName val="Concrete Beam"/>
      <sheetName val="AR(AUF)"/>
      <sheetName val="D&amp;W(AUF)"/>
      <sheetName val="EE"/>
      <sheetName val="RO(AUF)"/>
      <sheetName val="SAN(AUF)"/>
      <sheetName val="SUM_ALL"/>
      <sheetName val="Road&amp;Fence(AUF)"/>
      <sheetName val="ถนน+รั้ว"/>
      <sheetName val="Boq(1)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boq"/>
      <sheetName val="封面_"/>
      <sheetName val="@ñCe?0"/>
      <sheetName val="____"/>
      <sheetName val="_____@_x001c__x0014_______x0002__x0011__x0014______ñCe__x0001____0_"/>
      <sheetName val="封面_1"/>
      <sheetName val="封面_2"/>
      <sheetName val="封面_3"/>
      <sheetName val="Struc"/>
      <sheetName val="Ratio"/>
      <sheetName val="Ratio Quantities"/>
      <sheetName val="Foundation_VE"/>
      <sheetName val="Column_VE (Coppper)"/>
      <sheetName val="CORE WALL (GL 38-39 I-R)VE"/>
      <sheetName val="CORE WALL (GL 14-19 I-R)VE"/>
      <sheetName val="CORE WALL (GL 27-28 C-F)VE"/>
      <sheetName val="CORE WALL (GL 53-54 J)VE"/>
      <sheetName val="CORE WALL (GL 56-57 J-P)VE"/>
      <sheetName val="CORE WALL (GL 33 C-L)VE"/>
      <sheetName val="Staircase"/>
      <sheetName val="RC Wall"/>
      <sheetName val="Struc. Steel"/>
      <sheetName val="Std.RC Wall"/>
      <sheetName val="Std. Column "/>
      <sheetName val="Foundation"/>
      <sheetName val="Column_VE"/>
      <sheetName val="GFAไม้แบบท้องพื้น"/>
      <sheetName val="Struc Check Table อาคาร 1"/>
      <sheetName val="STR"/>
      <sheetName val="Sheet2"/>
      <sheetName val="SUMMERY_(BOQ)"/>
      <sheetName val="FIRST_FLOOR"/>
      <sheetName val="SECOND_FLOOR"/>
      <sheetName val="3RD_FLOOR"/>
      <sheetName val="4_TH_FLOOR"/>
      <sheetName val="1ST-4TH_DOOR_WORK"/>
      <sheetName val="1ST-4TH_MAIL&amp;FEMALE_TOILET"/>
      <sheetName val="5THFLOOR_LIFT_LOBBY&amp;CORRIDOR"/>
      <sheetName val="Back_Up"/>
      <sheetName val="Concrete_Beam"/>
      <sheetName val="SUMMERY_(BOQ)1"/>
      <sheetName val="FIRST_FLOOR1"/>
      <sheetName val="SECOND_FLOOR1"/>
      <sheetName val="3RD_FLOOR1"/>
      <sheetName val="4_TH_FLOOR1"/>
      <sheetName val="1ST-4TH_DOOR_WORK1"/>
      <sheetName val="1ST-4TH_MAIL&amp;FEMALE_TOILET1"/>
      <sheetName val="5THFLOOR_LIFT_LOBBY&amp;CORRIDOR1"/>
      <sheetName val="Back_Up1"/>
      <sheetName val="Concrete_Beam1"/>
      <sheetName val="SUMMERY_(BOQ)2"/>
      <sheetName val="FIRST_FLOOR2"/>
      <sheetName val="SECOND_FLOOR2"/>
      <sheetName val="3RD_FLOOR2"/>
      <sheetName val="4_TH_FLOOR2"/>
      <sheetName val="1ST-4TH_DOOR_WORK2"/>
      <sheetName val="1ST-4TH_MAIL&amp;FEMALE_TOILET2"/>
      <sheetName val="5THFLOOR_LIFT_LOBBY&amp;CORRIDOR2"/>
      <sheetName val="Back_Up2"/>
      <sheetName val="Concrete_Beam2"/>
      <sheetName val="SUMMERY_(BOQ)3"/>
      <sheetName val="FIRST_FLOOR3"/>
      <sheetName val="SECOND_FLOOR3"/>
      <sheetName val="3RD_FLOOR3"/>
      <sheetName val="4_TH_FLOOR3"/>
      <sheetName val="1ST-4TH_DOOR_WORK3"/>
      <sheetName val="1ST-4TH_MAIL&amp;FEMALE_TOILET3"/>
      <sheetName val="5THFLOOR_LIFT_LOBBY&amp;CORRIDOR3"/>
      <sheetName val="Back_Up3"/>
      <sheetName val="Concrete_Beam3"/>
      <sheetName val="SCIB_Proforma"/>
      <sheetName val="SCIB_Data"/>
      <sheetName val="PL"/>
      <sheetName val="ส่งมอบงาน "/>
      <sheetName val="ปก"/>
      <sheetName val="ใบแจ้งหนี้"/>
      <sheetName val="Grand Summary (2)"/>
      <sheetName val="Grand Summary "/>
      <sheetName val=" BOQ WELCOME "/>
      <sheetName val="Grand_Sum"/>
      <sheetName val="Sum_TC"/>
      <sheetName val="002"/>
      <sheetName val="003"/>
      <sheetName val="004"/>
      <sheetName val="Grand_Sum VO"/>
      <sheetName val="Sum_VIP VO"/>
      <sheetName val="_x005f_x0000__x005f_x0000__x005f_x0000__x005f_x0000__x0"/>
      <sheetName val="?????@_x005f_x001c__x005f_x0014_?????_x0002"/>
      <sheetName val="_____@_x005f_x001c__x005f_x0014_______x0002"/>
      <sheetName val="SAN REDUCED 1"/>
      <sheetName val="@ñCe_0"/>
      <sheetName val="Invoice"/>
      <sheetName val="S3 Architectural"/>
      <sheetName val="7IFS-5A"/>
      <sheetName val="?????@??????????ñCe????0?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/>
      <sheetData sheetId="1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ศูนย์การแพทย์"/>
      <sheetName val="หอพักผู้ป่วย"/>
      <sheetName val="อาคารบริการ"/>
      <sheetName val="สรศป"/>
      <sheetName val="Cost2"/>
      <sheetName val="Sheet1"/>
      <sheetName val="FR"/>
      <sheetName val="산근"/>
      <sheetName val="#REF"/>
      <sheetName val="封面 "/>
      <sheetName val="粉刷"/>
      <sheetName val="裝修"/>
      <sheetName val="風管工程"/>
      <sheetName val="合約價"/>
      <sheetName val="วัดใต้"/>
      <sheetName val="ราคาต่อหน่วย2-9"/>
      <sheetName val="????"/>
      <sheetName val="รวมราคาทั้งสิ้น"/>
      <sheetName val="SUMMERY (BOQ)"/>
      <sheetName val="FIRST FLOOR"/>
      <sheetName val="SECOND FLOOR"/>
      <sheetName val="3RD FLOOR"/>
      <sheetName val="4 TH FLOOR"/>
      <sheetName val="1ST-4TH DOOR WORK"/>
      <sheetName val="1ST-4TH MAIL&amp;FEMALE TOILET"/>
      <sheetName val="5THFLOOR LIFT LOBBY&amp;CORRIDOR"/>
      <sheetName val="Back Up"/>
      <sheetName val="Matt_Guest"/>
      <sheetName val="_x0000__x0000__x0000__x0000__x0000_@_x001c__x0014__x0000__x0000__x0000__x0000__x0000__x0002__x0011__x0014__x0000__x0000__x0000__x0000__x0000_ñCe?_x0001__x0000__x0000__x0000_0_x0000_"/>
      <sheetName val=""/>
      <sheetName val="SUM-AIR-Submit"/>
      <sheetName val="?????@_x001c__x0014_?????_x0002__x0011__x0014_?????ñCe?_x0001_???0?"/>
      <sheetName val="Concrete Beam"/>
      <sheetName val="FAB별"/>
      <sheetName val="Boq(1)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AR(AUF)"/>
      <sheetName val="D&amp;W(AUF)"/>
      <sheetName val="EE"/>
      <sheetName val="RO(AUF)"/>
      <sheetName val="SAN(AUF)"/>
      <sheetName val="SUM_ALL"/>
      <sheetName val="Road&amp;Fence(AUF)"/>
      <sheetName val="ถนน+รั้ว"/>
      <sheetName val="boq"/>
      <sheetName val="封面_"/>
      <sheetName val="@ñCe?0"/>
      <sheetName val="____"/>
      <sheetName val="_____@_x001c__x0014_______x0002__x0011__x0014______ñCe__x0001____0_"/>
      <sheetName val="封面_1"/>
      <sheetName val="封面_2"/>
      <sheetName val="封面_3"/>
      <sheetName val="Struc"/>
      <sheetName val="Ratio"/>
      <sheetName val="Ratio Quantities"/>
      <sheetName val="Foundation_VE"/>
      <sheetName val="Column_VE (Coppper)"/>
      <sheetName val="CORE WALL (GL 38-39 I-R)VE"/>
      <sheetName val="CORE WALL (GL 14-19 I-R)VE"/>
      <sheetName val="CORE WALL (GL 27-28 C-F)VE"/>
      <sheetName val="CORE WALL (GL 53-54 J)VE"/>
      <sheetName val="CORE WALL (GL 56-57 J-P)VE"/>
      <sheetName val="CORE WALL (GL 33 C-L)VE"/>
      <sheetName val="Staircase"/>
      <sheetName val="RC Wall"/>
      <sheetName val="Struc. Steel"/>
      <sheetName val="Std.RC Wall"/>
      <sheetName val="Std. Column "/>
      <sheetName val="Foundation"/>
      <sheetName val="Column_VE"/>
      <sheetName val="GFAไม้แบบท้องพื้น"/>
      <sheetName val="Struc Check Table อาคาร 1"/>
      <sheetName val="STR"/>
      <sheetName val="Sheet2"/>
      <sheetName val="SUMMERY_(BOQ)"/>
      <sheetName val="FIRST_FLOOR"/>
      <sheetName val="SECOND_FLOOR"/>
      <sheetName val="3RD_FLOOR"/>
      <sheetName val="4_TH_FLOOR"/>
      <sheetName val="1ST-4TH_DOOR_WORK"/>
      <sheetName val="1ST-4TH_MAIL&amp;FEMALE_TOILET"/>
      <sheetName val="5THFLOOR_LIFT_LOBBY&amp;CORRIDOR"/>
      <sheetName val="Back_Up"/>
      <sheetName val="Concrete_Beam"/>
      <sheetName val="SUMMERY_(BOQ)1"/>
      <sheetName val="FIRST_FLOOR1"/>
      <sheetName val="SECOND_FLOOR1"/>
      <sheetName val="3RD_FLOOR1"/>
      <sheetName val="4_TH_FLOOR1"/>
      <sheetName val="1ST-4TH_DOOR_WORK1"/>
      <sheetName val="1ST-4TH_MAIL&amp;FEMALE_TOILET1"/>
      <sheetName val="5THFLOOR_LIFT_LOBBY&amp;CORRIDOR1"/>
      <sheetName val="Back_Up1"/>
      <sheetName val="Concrete_Beam1"/>
      <sheetName val="SUMMERY_(BOQ)2"/>
      <sheetName val="FIRST_FLOOR2"/>
      <sheetName val="SECOND_FLOOR2"/>
      <sheetName val="3RD_FLOOR2"/>
      <sheetName val="4_TH_FLOOR2"/>
      <sheetName val="1ST-4TH_DOOR_WORK2"/>
      <sheetName val="1ST-4TH_MAIL&amp;FEMALE_TOILET2"/>
      <sheetName val="5THFLOOR_LIFT_LOBBY&amp;CORRIDOR2"/>
      <sheetName val="Back_Up2"/>
      <sheetName val="Concrete_Beam2"/>
      <sheetName val="SUMMERY_(BOQ)3"/>
      <sheetName val="FIRST_FLOOR3"/>
      <sheetName val="SECOND_FLOOR3"/>
      <sheetName val="3RD_FLOOR3"/>
      <sheetName val="4_TH_FLOOR3"/>
      <sheetName val="1ST-4TH_DOOR_WORK3"/>
      <sheetName val="1ST-4TH_MAIL&amp;FEMALE_TOILET3"/>
      <sheetName val="5THFLOOR_LIFT_LOBBY&amp;CORRIDOR3"/>
      <sheetName val="Back_Up3"/>
      <sheetName val="Concrete_Beam3"/>
      <sheetName val="SCIB_Proforma"/>
      <sheetName val="SCIB_Data"/>
      <sheetName val="PL"/>
      <sheetName val="ส่งมอบงาน "/>
      <sheetName val="ปก"/>
      <sheetName val="ใบแจ้งหนี้"/>
      <sheetName val="Grand Summary (2)"/>
      <sheetName val="Grand Summary "/>
      <sheetName val=" BOQ WELCOME "/>
      <sheetName val="Grand_Sum"/>
      <sheetName val="Sum_TC"/>
      <sheetName val="002"/>
      <sheetName val="003"/>
      <sheetName val="004"/>
      <sheetName val="Grand_Sum VO"/>
      <sheetName val="Sum_VIP VO"/>
      <sheetName val="_x005f_x0000__x005f_x0000__x005f_x0000__x005f_x0000__x0"/>
      <sheetName val="?????@_x005f_x001c__x005f_x0014_?????_x0002"/>
      <sheetName val="_____@_x005f_x001c__x005f_x0014_______x0002"/>
      <sheetName val="SAN REDUCED 1"/>
      <sheetName val="@ñCe_0"/>
      <sheetName val="Invoice"/>
      <sheetName val="S3 Architectural"/>
      <sheetName val="7IFS-5A"/>
      <sheetName val="?????@??????????ñCe????0?"/>
      <sheetName val=" FS"/>
      <sheetName val="Sch_1_EE"/>
      <sheetName val="Sch.2 SN"/>
      <sheetName val="Sch.3 FP"/>
      <sheetName val="Sch.4 AC"/>
      <sheetName val="Sch.6 Prelim"/>
      <sheetName val="ข้อมูลประตู T1"/>
      <sheetName val="ข้อมูลหน้าต่าง T1"/>
      <sheetName val="ข้อมูลหน้าต่าง T3"/>
      <sheetName val="stair"/>
      <sheetName val="ข้อมูลประตู T2"/>
      <sheetName val="Sum.ALL"/>
      <sheetName val="PRELIM"/>
      <sheetName val="รายการ VE"/>
      <sheetName val="PILE"/>
      <sheetName val="sum_ARC"/>
      <sheetName val="Public"/>
      <sheetName val="รวมห้องพัก"/>
      <sheetName val="HS"/>
      <sheetName val="Type A-1"/>
      <sheetName val="Type A-1M"/>
      <sheetName val="Type B-1"/>
      <sheetName val="Type C1"/>
      <sheetName val="Type C-2"/>
      <sheetName val="Type C-3"/>
      <sheetName val="Type C-5"/>
      <sheetName val="Type DP-5"/>
      <sheetName val="Type LOFT-1"/>
      <sheetName val="Type LOFT-2 "/>
      <sheetName val="Type LOFT-2M"/>
      <sheetName val="Type LOFT 3"/>
      <sheetName val="Type LOFT-4"/>
      <sheetName val="Type LOFT-5"/>
      <sheetName val="Type LOFT-6"/>
      <sheetName val="Type LOFT-7"/>
      <sheetName val="Type PH-A"/>
      <sheetName val="Type PH-B"/>
      <sheetName val="Type PH-C"/>
      <sheetName val="Type PH-D"/>
      <sheetName val="Type PH-E"/>
      <sheetName val="Hard"/>
      <sheetName val="Sum LAND"/>
      <sheetName val="Landscape"/>
      <sheetName val="SUM M&amp;E"/>
      <sheetName val="SN"/>
      <sheetName val="AC"/>
      <sheetName val="EX-WORK"/>
      <sheetName val="Recovered_Sheet1"/>
      <sheetName val="TOTAL -BUILDING E1"/>
      <sheetName val="SUM - MEP(E1) "/>
      <sheetName val="EE(E1)"/>
      <sheetName val="Com(E1)"/>
      <sheetName val="Air(E1 )"/>
      <sheetName val="San(E1)"/>
      <sheetName val="Fp(E1)   "/>
      <sheetName val="SUMMARY MEP"/>
      <sheetName val="พื้นที่อาคาร"/>
      <sheetName val="SUM - MEP BUILDING"/>
      <sheetName val="Electrical System "/>
      <sheetName val="Commuication System"/>
      <sheetName val="Air Conditioning  System  "/>
      <sheetName val="Sanitary System "/>
      <sheetName val="Fire Protection System "/>
      <sheetName val="Check"/>
      <sheetName val="封面_4"/>
      <sheetName val="Data Sheet"/>
      <sheetName val="Interial"/>
      <sheetName val="EST-FOOTING (G)"/>
      <sheetName val="Cost per SQM_M&amp;E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แยกงาน"/>
      <sheetName val="แยกงาน (2)"/>
      <sheetName val="SUMMERY_(BOQ)4"/>
      <sheetName val="FIRST_FLOOR4"/>
      <sheetName val="SECOND_FLOOR4"/>
      <sheetName val="3RD_FLOOR4"/>
      <sheetName val="4_TH_FLOOR4"/>
      <sheetName val="1ST-4TH_DOOR_WORK4"/>
      <sheetName val="1ST-4TH_MAIL&amp;FEMALE_TOILET4"/>
      <sheetName val="5THFLOOR_LIFT_LOBBY&amp;CORRIDOR4"/>
      <sheetName val="Back_Up4"/>
      <sheetName val="Concrete_Beam4"/>
      <sheetName val="_____@__________ñCe____0_"/>
      <sheetName val="Ratio_Quantities"/>
      <sheetName val="Column_VE_(Coppper)"/>
      <sheetName val="CORE_WALL_(GL_38-39_I-R)VE"/>
      <sheetName val="CORE_WALL_(GL_14-19_I-R)VE"/>
      <sheetName val="CORE_WALL_(GL_27-28_C-F)VE"/>
      <sheetName val="CORE_WALL_(GL_53-54_J)VE"/>
      <sheetName val="CORE_WALL_(GL_56-57_J-P)VE"/>
      <sheetName val="CORE_WALL_(GL_33_C-L)VE"/>
      <sheetName val="RC_Wall"/>
      <sheetName val="Struc__Steel"/>
      <sheetName val="Std_RC_Wall"/>
      <sheetName val="Std__Column_"/>
      <sheetName val="Struc_Check_Table_อาคาร_1"/>
      <sheetName val="ส่งมอบงาน_"/>
      <sheetName val="Grand_Summary_(2)"/>
      <sheetName val="Grand_Summary_"/>
      <sheetName val="_BOQ_WELCOME_"/>
      <sheetName val="Grand_Sum_VO"/>
      <sheetName val="Sum_VIP_VO"/>
      <sheetName val="ปี 2562"/>
      <sheetName val="จ่ายเงิน"/>
      <sheetName val="Construction"/>
      <sheetName val="schedule_1"/>
      <sheetName val="KKC Brkdwn"/>
      <sheetName val="Factor F Data"/>
      <sheetName val="King 1"/>
      <sheetName val="_x0000__x0000__x0000__x0000__x0"/>
      <sheetName val="_____@_x001c__x0014_______x0002"/>
      <sheetName val="_x005f_x005f_x005f_x0000__x005f_x005f_x005f_x0000__x005"/>
      <sheetName val="_____@_x005f_x005f_x005f_x001c__x005f_x005f_x0014"/>
      <sheetName val="ปร5"/>
      <sheetName val="ราคาวัสดุ"/>
      <sheetName val="10 ข้อมูลวัสดุ-ค่าดำเนิน"/>
      <sheetName val="REF ONLY2"/>
      <sheetName val="index"/>
      <sheetName val="合成単価作成・-BLDG"/>
      <sheetName val="A"/>
      <sheetName val="一発シート"/>
      <sheetName val="BOX Cryostat Details"/>
      <sheetName val="Driver Linac Layout"/>
      <sheetName val="Inputs"/>
      <sheetName val="Magnet Details"/>
      <sheetName val="Garph Work-Cost"/>
      <sheetName val="Discounted Cash Flow"/>
      <sheetName val="mat"/>
      <sheetName val="QuantitySegment"/>
      <sheetName val="Fee Rate Summary"/>
      <sheetName val="_x005f_x0000__x005f_x0000__x005"/>
      <sheetName val="_____@_x005f_x001c__x0014"/>
      <sheetName val="_____@_x005f_x005f_x005f_x001c__x0014"/>
      <sheetName val="_x005f_x005f_x005f_x005f_x005f_x005f_x005f_x0000__x005f"/>
      <sheetName val="_____@_x005f_x005f_x005f_x005f_x005f_x005f_x005f_x001c_"/>
      <sheetName val="แผนงาน อบต ท่าลาน(ส่งเทศบาล)"/>
      <sheetName val="Cctmst"/>
      <sheetName val="l-fixer"/>
      <sheetName val="Bill No. 2 - Carpark"/>
      <sheetName val="_____@_x005f_x001c__x005f_x005f_x0014"/>
      <sheetName val="_x005f_x005f_x005f_x0000__x005f"/>
      <sheetName val="_____@_x005f_x005f_x005f_x001c_"/>
      <sheetName val="cov-estimate"/>
      <sheetName val="Sheet5"/>
      <sheetName val="A1.2"/>
      <sheetName val="Construction cost assumption"/>
      <sheetName val="JLL Assumption"/>
      <sheetName val="Retail Program&amp;Rev Assumption"/>
      <sheetName val="OR21 Final Forecast Rev.2"/>
      <sheetName val="Summary Forecast Budget 1&amp;2"/>
      <sheetName val="Summary Forecast Budget Rev 2"/>
      <sheetName val="Backup OR21 "/>
      <sheetName val="BOQ  VI 03.09.19 "/>
      <sheetName val="Backup BR.BMA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IMP OR21 2019.07.11"/>
      <sheetName val="detail "/>
      <sheetName val="Car.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?????@_x005f_x005f_x005f_x001c__x005f_x005f_x0014"/>
      <sheetName val="FitOutConfCentre"/>
      <sheetName val="Sap_Actual"/>
      <sheetName val="wa"/>
    </sheetNames>
    <sheetDataSet>
      <sheetData sheetId="0"/>
      <sheetData sheetId="1"/>
      <sheetData sheetId="2"/>
      <sheetData sheetId="3">
        <row r="307">
          <cell r="C307">
            <v>0</v>
          </cell>
        </row>
      </sheetData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307">
          <cell r="C307">
            <v>0</v>
          </cell>
        </row>
      </sheetData>
      <sheetData sheetId="66">
        <row r="307">
          <cell r="C307">
            <v>0</v>
          </cell>
        </row>
      </sheetData>
      <sheetData sheetId="67">
        <row r="307">
          <cell r="C307">
            <v>0</v>
          </cell>
        </row>
      </sheetData>
      <sheetData sheetId="68">
        <row r="307">
          <cell r="C307">
            <v>0</v>
          </cell>
        </row>
      </sheetData>
      <sheetData sheetId="69">
        <row r="307">
          <cell r="C307">
            <v>0</v>
          </cell>
        </row>
      </sheetData>
      <sheetData sheetId="70">
        <row r="307">
          <cell r="C307">
            <v>0</v>
          </cell>
        </row>
      </sheetData>
      <sheetData sheetId="71">
        <row r="307">
          <cell r="C307">
            <v>0</v>
          </cell>
        </row>
      </sheetData>
      <sheetData sheetId="72">
        <row r="307">
          <cell r="C307">
            <v>0</v>
          </cell>
        </row>
      </sheetData>
      <sheetData sheetId="73">
        <row r="307">
          <cell r="C307">
            <v>0</v>
          </cell>
        </row>
      </sheetData>
      <sheetData sheetId="74">
        <row r="307">
          <cell r="C307">
            <v>0</v>
          </cell>
        </row>
      </sheetData>
      <sheetData sheetId="75">
        <row r="307">
          <cell r="C307">
            <v>0</v>
          </cell>
        </row>
      </sheetData>
      <sheetData sheetId="76">
        <row r="307">
          <cell r="C307">
            <v>0</v>
          </cell>
        </row>
      </sheetData>
      <sheetData sheetId="77">
        <row r="307">
          <cell r="C307">
            <v>0</v>
          </cell>
        </row>
      </sheetData>
      <sheetData sheetId="78">
        <row r="307">
          <cell r="C307">
            <v>0</v>
          </cell>
        </row>
      </sheetData>
      <sheetData sheetId="79">
        <row r="307">
          <cell r="C307">
            <v>0</v>
          </cell>
        </row>
      </sheetData>
      <sheetData sheetId="80">
        <row r="307">
          <cell r="C307">
            <v>0</v>
          </cell>
        </row>
      </sheetData>
      <sheetData sheetId="81">
        <row r="307">
          <cell r="C307">
            <v>0</v>
          </cell>
        </row>
      </sheetData>
      <sheetData sheetId="82">
        <row r="307">
          <cell r="C307">
            <v>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>
        <row r="307">
          <cell r="C307">
            <v>0</v>
          </cell>
        </row>
      </sheetData>
      <sheetData sheetId="88">
        <row r="307">
          <cell r="C307">
            <v>0</v>
          </cell>
        </row>
      </sheetData>
      <sheetData sheetId="89">
        <row r="307">
          <cell r="C307">
            <v>0</v>
          </cell>
        </row>
      </sheetData>
      <sheetData sheetId="90">
        <row r="307">
          <cell r="C307">
            <v>0</v>
          </cell>
        </row>
      </sheetData>
      <sheetData sheetId="91">
        <row r="307">
          <cell r="C307">
            <v>0</v>
          </cell>
        </row>
      </sheetData>
      <sheetData sheetId="92">
        <row r="307">
          <cell r="C307">
            <v>0</v>
          </cell>
        </row>
      </sheetData>
      <sheetData sheetId="93">
        <row r="307">
          <cell r="C307">
            <v>0</v>
          </cell>
        </row>
      </sheetData>
      <sheetData sheetId="94" refreshError="1"/>
      <sheetData sheetId="95" refreshError="1"/>
      <sheetData sheetId="96">
        <row r="307">
          <cell r="C307">
            <v>0</v>
          </cell>
        </row>
      </sheetData>
      <sheetData sheetId="97">
        <row r="307">
          <cell r="C307">
            <v>0</v>
          </cell>
        </row>
      </sheetData>
      <sheetData sheetId="98">
        <row r="307">
          <cell r="C307">
            <v>0</v>
          </cell>
        </row>
      </sheetData>
      <sheetData sheetId="99">
        <row r="307">
          <cell r="C307">
            <v>0</v>
          </cell>
        </row>
      </sheetData>
      <sheetData sheetId="100">
        <row r="307">
          <cell r="C307">
            <v>0</v>
          </cell>
        </row>
      </sheetData>
      <sheetData sheetId="101">
        <row r="307">
          <cell r="C307">
            <v>0</v>
          </cell>
        </row>
      </sheetData>
      <sheetData sheetId="102">
        <row r="307">
          <cell r="C307">
            <v>0</v>
          </cell>
        </row>
      </sheetData>
      <sheetData sheetId="103">
        <row r="307">
          <cell r="C307">
            <v>0</v>
          </cell>
        </row>
      </sheetData>
      <sheetData sheetId="104">
        <row r="307">
          <cell r="C307">
            <v>0</v>
          </cell>
        </row>
      </sheetData>
      <sheetData sheetId="105">
        <row r="307">
          <cell r="C307">
            <v>0</v>
          </cell>
        </row>
      </sheetData>
      <sheetData sheetId="106">
        <row r="307">
          <cell r="C307">
            <v>0</v>
          </cell>
        </row>
      </sheetData>
      <sheetData sheetId="107">
        <row r="307">
          <cell r="C307">
            <v>0</v>
          </cell>
        </row>
      </sheetData>
      <sheetData sheetId="108">
        <row r="307">
          <cell r="C307">
            <v>0</v>
          </cell>
        </row>
      </sheetData>
      <sheetData sheetId="109">
        <row r="307">
          <cell r="C307">
            <v>0</v>
          </cell>
        </row>
      </sheetData>
      <sheetData sheetId="110">
        <row r="307">
          <cell r="C307">
            <v>0</v>
          </cell>
        </row>
      </sheetData>
      <sheetData sheetId="111">
        <row r="307">
          <cell r="C307">
            <v>0</v>
          </cell>
        </row>
      </sheetData>
      <sheetData sheetId="112">
        <row r="307">
          <cell r="C307">
            <v>0</v>
          </cell>
        </row>
      </sheetData>
      <sheetData sheetId="113">
        <row r="307">
          <cell r="C307">
            <v>0</v>
          </cell>
        </row>
      </sheetData>
      <sheetData sheetId="114">
        <row r="307">
          <cell r="C307">
            <v>0</v>
          </cell>
        </row>
      </sheetData>
      <sheetData sheetId="115" refreshError="1"/>
      <sheetData sheetId="116" refreshError="1"/>
      <sheetData sheetId="117">
        <row r="307">
          <cell r="C307">
            <v>0</v>
          </cell>
        </row>
      </sheetData>
      <sheetData sheetId="118">
        <row r="307">
          <cell r="C307">
            <v>0</v>
          </cell>
        </row>
      </sheetData>
      <sheetData sheetId="119">
        <row r="307">
          <cell r="C307">
            <v>0</v>
          </cell>
        </row>
      </sheetData>
      <sheetData sheetId="120">
        <row r="307">
          <cell r="C307">
            <v>0</v>
          </cell>
        </row>
      </sheetData>
      <sheetData sheetId="121">
        <row r="307">
          <cell r="C307">
            <v>0</v>
          </cell>
        </row>
      </sheetData>
      <sheetData sheetId="122">
        <row r="307">
          <cell r="C307">
            <v>0</v>
          </cell>
        </row>
      </sheetData>
      <sheetData sheetId="123">
        <row r="307">
          <cell r="C307">
            <v>0</v>
          </cell>
        </row>
      </sheetData>
      <sheetData sheetId="124">
        <row r="307">
          <cell r="C307">
            <v>0</v>
          </cell>
        </row>
      </sheetData>
      <sheetData sheetId="125"/>
      <sheetData sheetId="126">
        <row r="307">
          <cell r="C307">
            <v>0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/>
      <sheetData sheetId="151">
        <row r="307">
          <cell r="C307">
            <v>0</v>
          </cell>
        </row>
      </sheetData>
      <sheetData sheetId="152">
        <row r="307">
          <cell r="C307">
            <v>0</v>
          </cell>
        </row>
      </sheetData>
      <sheetData sheetId="153">
        <row r="307">
          <cell r="C307">
            <v>0</v>
          </cell>
        </row>
      </sheetData>
      <sheetData sheetId="154">
        <row r="307">
          <cell r="C307">
            <v>0</v>
          </cell>
        </row>
      </sheetData>
      <sheetData sheetId="155">
        <row r="307">
          <cell r="C307">
            <v>0</v>
          </cell>
        </row>
      </sheetData>
      <sheetData sheetId="156">
        <row r="307">
          <cell r="C307">
            <v>0</v>
          </cell>
        </row>
      </sheetData>
      <sheetData sheetId="157">
        <row r="307">
          <cell r="C307">
            <v>0</v>
          </cell>
        </row>
      </sheetData>
      <sheetData sheetId="158" refreshError="1"/>
      <sheetData sheetId="159" refreshError="1"/>
      <sheetData sheetId="160">
        <row r="307">
          <cell r="C307">
            <v>0</v>
          </cell>
        </row>
      </sheetData>
      <sheetData sheetId="161" refreshError="1"/>
      <sheetData sheetId="162" refreshError="1"/>
      <sheetData sheetId="163">
        <row r="307">
          <cell r="C307">
            <v>0</v>
          </cell>
        </row>
      </sheetData>
      <sheetData sheetId="164">
        <row r="307">
          <cell r="C307">
            <v>0</v>
          </cell>
        </row>
      </sheetData>
      <sheetData sheetId="165">
        <row r="307">
          <cell r="C307">
            <v>0</v>
          </cell>
        </row>
      </sheetData>
      <sheetData sheetId="166">
        <row r="307">
          <cell r="C307">
            <v>0</v>
          </cell>
        </row>
      </sheetData>
      <sheetData sheetId="167">
        <row r="307">
          <cell r="C307">
            <v>0</v>
          </cell>
        </row>
      </sheetData>
      <sheetData sheetId="168">
        <row r="307">
          <cell r="C307">
            <v>0</v>
          </cell>
        </row>
      </sheetData>
      <sheetData sheetId="169">
        <row r="307">
          <cell r="C307">
            <v>0</v>
          </cell>
        </row>
      </sheetData>
      <sheetData sheetId="170"/>
      <sheetData sheetId="171">
        <row r="307">
          <cell r="C307">
            <v>0</v>
          </cell>
        </row>
      </sheetData>
      <sheetData sheetId="172">
        <row r="307">
          <cell r="C307">
            <v>0</v>
          </cell>
        </row>
      </sheetData>
      <sheetData sheetId="173">
        <row r="307">
          <cell r="C307">
            <v>0</v>
          </cell>
        </row>
      </sheetData>
      <sheetData sheetId="174">
        <row r="307">
          <cell r="C307">
            <v>0</v>
          </cell>
        </row>
      </sheetData>
      <sheetData sheetId="175">
        <row r="307">
          <cell r="C307">
            <v>0</v>
          </cell>
        </row>
      </sheetData>
      <sheetData sheetId="176">
        <row r="307">
          <cell r="C307">
            <v>0</v>
          </cell>
        </row>
      </sheetData>
      <sheetData sheetId="177">
        <row r="307">
          <cell r="C307">
            <v>0</v>
          </cell>
        </row>
      </sheetData>
      <sheetData sheetId="178">
        <row r="307">
          <cell r="C307">
            <v>0</v>
          </cell>
        </row>
      </sheetData>
      <sheetData sheetId="179">
        <row r="307">
          <cell r="C307">
            <v>0</v>
          </cell>
        </row>
      </sheetData>
      <sheetData sheetId="180">
        <row r="307">
          <cell r="C307">
            <v>0</v>
          </cell>
        </row>
      </sheetData>
      <sheetData sheetId="181">
        <row r="307">
          <cell r="C307">
            <v>0</v>
          </cell>
        </row>
      </sheetData>
      <sheetData sheetId="182">
        <row r="307">
          <cell r="C307">
            <v>0</v>
          </cell>
        </row>
      </sheetData>
      <sheetData sheetId="183">
        <row r="307">
          <cell r="C307">
            <v>0</v>
          </cell>
        </row>
      </sheetData>
      <sheetData sheetId="184">
        <row r="307">
          <cell r="C307">
            <v>0</v>
          </cell>
        </row>
      </sheetData>
      <sheetData sheetId="185">
        <row r="307">
          <cell r="C307">
            <v>0</v>
          </cell>
        </row>
      </sheetData>
      <sheetData sheetId="186">
        <row r="307">
          <cell r="C307">
            <v>0</v>
          </cell>
        </row>
      </sheetData>
      <sheetData sheetId="187">
        <row r="307">
          <cell r="C307">
            <v>0</v>
          </cell>
        </row>
      </sheetData>
      <sheetData sheetId="188">
        <row r="307">
          <cell r="C307">
            <v>0</v>
          </cell>
        </row>
      </sheetData>
      <sheetData sheetId="189">
        <row r="307">
          <cell r="C307">
            <v>0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307">
          <cell r="C307">
            <v>0</v>
          </cell>
        </row>
      </sheetData>
      <sheetData sheetId="269">
        <row r="307">
          <cell r="C307">
            <v>0</v>
          </cell>
        </row>
      </sheetData>
      <sheetData sheetId="270"/>
      <sheetData sheetId="271">
        <row r="307">
          <cell r="C307">
            <v>0</v>
          </cell>
        </row>
      </sheetData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307">
          <cell r="C307" t="str">
            <v>Lean Concrete  ( 0.10 cm.)</v>
          </cell>
        </row>
      </sheetData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>
        <row r="307">
          <cell r="C307" t="str">
            <v>Lean Concrete  ( 0.10 cm.)</v>
          </cell>
        </row>
      </sheetData>
      <sheetData sheetId="304">
        <row r="307">
          <cell r="C307" t="str">
            <v>Lean Concrete  ( 0.10 cm.)</v>
          </cell>
        </row>
      </sheetData>
      <sheetData sheetId="305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>
        <row r="307">
          <cell r="C307" t="str">
            <v>Lean Concrete  ( 0.10 cm.)</v>
          </cell>
        </row>
      </sheetData>
      <sheetData sheetId="316">
        <row r="307">
          <cell r="C307">
            <v>0</v>
          </cell>
        </row>
      </sheetData>
      <sheetData sheetId="317">
        <row r="307">
          <cell r="C307" t="str">
            <v>Lean Concrete  ( 0.10 cm.)</v>
          </cell>
        </row>
      </sheetData>
      <sheetData sheetId="318"/>
      <sheetData sheetId="319"/>
      <sheetData sheetId="320"/>
      <sheetData sheetId="321">
        <row r="307">
          <cell r="C307" t="str">
            <v>Lean Concrete  ( 0.10 cm.)</v>
          </cell>
        </row>
      </sheetData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fit"/>
      <sheetName val="sum-pro"/>
      <sheetName val="sex"/>
      <sheetName val="dbp-0601"/>
      <sheetName val="tifico"/>
      <sheetName val="สรุป"/>
      <sheetName val="FR"/>
      <sheetName val="11"/>
      <sheetName val="12"/>
      <sheetName val="14"/>
      <sheetName val="15"/>
      <sheetName val="16"/>
      <sheetName val="18"/>
      <sheetName val="19"/>
      <sheetName val="21"/>
      <sheetName val="26"/>
      <sheetName val="28"/>
      <sheetName val="13"/>
      <sheetName val="17"/>
      <sheetName val="22"/>
      <sheetName val="23"/>
      <sheetName val="24"/>
      <sheetName val="25"/>
      <sheetName val="29"/>
      <sheetName val="8"/>
      <sheetName val="5"/>
      <sheetName val="4"/>
      <sheetName val="9"/>
      <sheetName val="1"/>
      <sheetName val="7"/>
      <sheetName val="6"/>
      <sheetName val="10"/>
      <sheetName val="3"/>
      <sheetName val="2"/>
      <sheetName val="20"/>
      <sheetName val="DBP-0900"/>
      <sheetName val="DBP-0200"/>
      <sheetName val="QUERY"/>
      <sheetName val="D &amp; W sizes"/>
      <sheetName val="Summary Electrical"/>
      <sheetName val="SITE-E"/>
      <sheetName val="Markup"/>
      <sheetName val="H.Satuan"/>
      <sheetName val="Isolasi Luar Dalam"/>
      <sheetName val="Isolasi Luar"/>
      <sheetName val="Analisa"/>
      <sheetName val="Bill of Quantity"/>
      <sheetName val="PileCap"/>
      <sheetName val="Kolom"/>
      <sheetName val="TB"/>
      <sheetName val="D_&amp;_W_sizes"/>
      <sheetName val="RAB AR&amp;STR"/>
      <sheetName val="AC"/>
      <sheetName val="EE ELEKTRIKAL"/>
      <sheetName val="FIRE Hydrant"/>
      <sheetName val="PLUMBING"/>
      <sheetName val="an. struktur"/>
      <sheetName val="harsat"/>
      <sheetName val="Dashboard"/>
      <sheetName val="Kuantitas _ Harga"/>
      <sheetName val="D _ W sizes"/>
      <sheetName val="CABLE"/>
      <sheetName val="Unit Rate"/>
      <sheetName val="ANAL.BOW"/>
      <sheetName val="Pipe"/>
      <sheetName val="Harga ME "/>
      <sheetName val="Penwrn"/>
      <sheetName val="Piping"/>
      <sheetName val="Pile"/>
      <sheetName val="4-Basic Price"/>
      <sheetName val="COVER"/>
      <sheetName val="Data basic price jgan diprint"/>
      <sheetName val="Duc-3"/>
      <sheetName val="PRO"/>
      <sheetName val="SUMPRO"/>
      <sheetName val="Harga Satuan"/>
      <sheetName val="Sheet1"/>
      <sheetName val="Cover1"/>
      <sheetName val="DAF-1"/>
      <sheetName val="Pt"/>
      <sheetName val="mu"/>
      <sheetName val="BCA 4414"/>
      <sheetName val="#REF!"/>
      <sheetName val="DW"/>
      <sheetName val="Catatan"/>
      <sheetName val="upah"/>
      <sheetName val="DAS-SAT (2)"/>
      <sheetName val="DAS-SAT (3)"/>
      <sheetName val="BK"/>
      <sheetName val="BM"/>
      <sheetName val="KK"/>
      <sheetName val="KM"/>
      <sheetName val="Memo"/>
      <sheetName val="Perm. Test"/>
      <sheetName val="bill qty"/>
      <sheetName val="sort2"/>
      <sheetName val="Anls"/>
      <sheetName val="Analisa  _2_"/>
      <sheetName val="REKAP"/>
      <sheetName val="anal_alat"/>
      <sheetName val="hsd"/>
      <sheetName val="갑지"/>
      <sheetName val="rap"/>
      <sheetName val="351BQMCN"/>
      <sheetName val="概総括1"/>
      <sheetName val="Fill this out first___"/>
      <sheetName val="G_SUMMARY"/>
      <sheetName val="ARSITEKTUR"/>
      <sheetName val="Estimate"/>
      <sheetName val="Cash Flow bulanan"/>
      <sheetName val="BREAKDOWN G10"/>
      <sheetName val="SUM-AIR-Submit"/>
      <sheetName val="งานบริหารโครงการ"/>
      <sheetName val="Agregat Halus &amp; Kasar"/>
      <sheetName val="AFORM-BQ"/>
      <sheetName val="TEKNIS"/>
      <sheetName val="HD BAHAN"/>
      <sheetName val="BOQ CONTRACT WK"/>
      <sheetName val="SAP"/>
      <sheetName val="BASIC"/>
      <sheetName val="DB"/>
      <sheetName val="BAU"/>
      <sheetName val="XL4Poppy"/>
      <sheetName val="Div2"/>
      <sheetName val="MAP"/>
      <sheetName val="BasicPrice"/>
      <sheetName val="Bill"/>
      <sheetName val="COST SUMM"/>
      <sheetName val="Break_down"/>
      <sheetName val="Tenaker"/>
      <sheetName val="Equipment"/>
      <sheetName val="PriceList"/>
      <sheetName val="EQ"/>
      <sheetName val="rumus"/>
      <sheetName val="Engine"/>
      <sheetName val="An_Basic"/>
      <sheetName val="WILAYAH III"/>
      <sheetName val="WILAYAH I"/>
      <sheetName val="CATAT"/>
      <sheetName val="WILAYAH II"/>
      <sheetName val="HD ALAT"/>
      <sheetName val="HD UPAH"/>
      <sheetName val="PRY 03-1 (Amd1)"/>
      <sheetName val="DAF_2"/>
      <sheetName val="HARGA"/>
      <sheetName val="BEDAH"/>
      <sheetName val="SAT UPAH RAPI"/>
      <sheetName val="A+Supl."/>
      <sheetName val="INDEKS"/>
      <sheetName val="MEKANIKAL "/>
      <sheetName val="AHS_1"/>
      <sheetName val="1.B"/>
      <sheetName val="Rekap BoQ"/>
      <sheetName val="Material"/>
      <sheetName val="IDC 61005"/>
      <sheetName val="MAPP"/>
      <sheetName val="Stressing bed"/>
      <sheetName val="Bab12"/>
      <sheetName val="UPH,BHN,ALT"/>
      <sheetName val="Sales Parameter"/>
      <sheetName val="Parameter"/>
      <sheetName val="6-AGREGAT"/>
      <sheetName val="S.UPAH"/>
      <sheetName val="Input"/>
      <sheetName val="Uraian Upah"/>
      <sheetName val="Currency Rate"/>
      <sheetName val="BQ(CME)"/>
      <sheetName val="Summary.1"/>
      <sheetName val="kWINTANSI"/>
      <sheetName val="HRG BHN"/>
      <sheetName val="material "/>
      <sheetName val="Cover Daf-2"/>
      <sheetName val="DataTeknis"/>
      <sheetName val="Definitions"/>
      <sheetName val="ANLS MPU"/>
      <sheetName val="HargaBahan"/>
      <sheetName val="#REF"/>
      <sheetName val="Analisa.Hourly"/>
      <sheetName val="Rek.Analisa"/>
      <sheetName val="Rekapitulasi"/>
      <sheetName val="Harga Bahan &amp; Upah "/>
      <sheetName val="alat"/>
      <sheetName val="Hrg Readymix"/>
      <sheetName val="BoQ C4"/>
      <sheetName val="Summary"/>
      <sheetName val="AR2-F21"/>
      <sheetName val="AR1-F20"/>
      <sheetName val="Harsat_marina"/>
      <sheetName val="ana_struktur"/>
      <sheetName val="Pump_Cal"/>
      <sheetName val="james's"/>
      <sheetName val="S3 Architectural"/>
      <sheetName val="upa"/>
      <sheetName val="공통가설"/>
      <sheetName val="7IFS-5A"/>
      <sheetName val="COLUMN"/>
      <sheetName val="stair"/>
      <sheetName val="footing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"/>
      <sheetName val="Del-217"/>
      <sheetName val="ภาพประกอบการทำงาน"/>
      <sheetName val="SAN REDUCED 1"/>
      <sheetName val="SUM-AIR-Submit"/>
      <sheetName val="#REF"/>
      <sheetName val="summary1-2"/>
      <sheetName val="summary1-3"/>
      <sheetName val="XXXXXX"/>
      <sheetName val="XXXXX0"/>
      <sheetName val="XXXXX1"/>
      <sheetName val="Sheet1"/>
      <sheetName val="Sum-Prelim"/>
      <sheetName val="Staff"/>
      <sheetName val="Prelim"/>
      <sheetName val="กำไร-ต้นทุน"/>
      <sheetName val="ราคารวม"/>
      <sheetName val="FACTOR (%)"/>
      <sheetName val="H-FRAME"/>
      <sheetName val="TOTAL BOQ-SN&amp;FP"/>
      <sheetName val="BOQ-SN&amp;FP"/>
      <sheetName val="TOTAL BOQ-AC"/>
      <sheetName val="BOQ-AC"/>
      <sheetName val="TOTAL BOQ-EE"/>
      <sheetName val="BOQ-EE"/>
      <sheetName val="Duct Bank"/>
      <sheetName val="ราคา LC - CU"/>
      <sheetName val="MDB&amp;DB"/>
      <sheetName val="HV -LV"/>
      <sheetName val="BUSDUCT"/>
      <sheetName val="DP to LC"/>
      <sheetName val="TELEPHONE"/>
      <sheetName val="MATV"/>
      <sheetName val="FIRE ALARM"/>
      <sheetName val="ACCESS"/>
      <sheetName val="CCTV"/>
      <sheetName val="LIGHTNING PROTECTION"/>
      <sheetName val="Struc. "/>
      <sheetName val="Progress-All"/>
      <sheetName val="SH-D"/>
      <sheetName val="SH-G"/>
      <sheetName val="BK Unit Rate"/>
      <sheetName val="Equipment"/>
      <sheetName val="SAN_REDUCED_1"/>
      <sheetName val="FACTOR_(%)"/>
      <sheetName val="TOTAL_BOQ-SN&amp;FP"/>
      <sheetName val="TOTAL_BOQ-AC"/>
      <sheetName val="TOTAL_BOQ-EE"/>
      <sheetName val="Duct_Bank"/>
      <sheetName val="ราคา_LC_-_CU"/>
      <sheetName val="HV_-LV"/>
      <sheetName val="DP_to_LC"/>
      <sheetName val="FIRE_ALARM"/>
      <sheetName val="LIGHTNING_PROTECTION"/>
      <sheetName val="Struc__"/>
      <sheetName val="BK_Unit_Rate"/>
      <sheetName val="Main Sum (Hotel &amp; Residences)"/>
      <sheetName val="สรุป"/>
      <sheetName val="Factor F Data"/>
      <sheetName val="tifico"/>
      <sheetName val="Cost"/>
      <sheetName val="A"/>
      <sheetName val="General Data"/>
      <sheetName val="???????-BLDG"/>
      <sheetName val="合成単価作成表-BLDG"/>
      <sheetName val="ประมาณการประตูหน้าต่าง "/>
      <sheetName val="stair"/>
      <sheetName val="S3 Architectural"/>
      <sheetName val="EXP. SPI&amp;ICT"/>
      <sheetName val="STRUCTURE"/>
      <sheetName val="_______-BLDG"/>
      <sheetName val="Sch.3"/>
      <sheetName val="Form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ปกนำส่ง"/>
      <sheetName val="letter"/>
      <sheetName val="งานฐานราก+เสาเข็ม"/>
      <sheetName val="summary_ee"/>
      <sheetName val="ee_unit type"/>
      <sheetName val="ee_build "/>
      <sheetName val="Bullet"/>
      <sheetName val="SAN_REDUCED_11"/>
      <sheetName val="FACTOR_(%)1"/>
      <sheetName val="TOTAL_BOQ-SN&amp;FP1"/>
      <sheetName val="TOTAL_BOQ-AC1"/>
      <sheetName val="TOTAL_BOQ-EE1"/>
      <sheetName val="Duct_Bank1"/>
      <sheetName val="ราคา_LC_-_CU1"/>
      <sheetName val="HV_-LV1"/>
      <sheetName val="DP_to_LC1"/>
      <sheetName val="FIRE_ALARM1"/>
      <sheetName val="LIGHTNING_PROTECTION1"/>
      <sheetName val="Struc__1"/>
      <sheetName val="BK_Unit_Rate1"/>
      <sheetName val="Main_Sum_(Hotel_&amp;_Residences)"/>
      <sheetName val="Factor_F_Data"/>
      <sheetName val="upa"/>
      <sheetName val="Unit rate Architecture"/>
      <sheetName val="SH-B"/>
      <sheetName val="SH-E"/>
      <sheetName val="SH-C"/>
      <sheetName val="S0"/>
      <sheetName val="ใบปะหน้า"/>
      <sheetName val="เซ็นสัญญา"/>
      <sheetName val="เบิกงวดที่.1"/>
      <sheetName val="เบิกงวดที่.1 (แก้ไข)"/>
      <sheetName val="ถอดแบบ (2)"/>
      <sheetName val="SAN_REDUCED_12"/>
      <sheetName val="ประมาณการประตูหน้าต่าง_"/>
      <sheetName val="General_Data"/>
      <sheetName val="S3_Architectural"/>
      <sheetName val="10 ข้อมูลวัสดุ-ค่าดำเนิน"/>
      <sheetName val="SAN_REDUCED_13"/>
      <sheetName val="FACTOR_(%)2"/>
      <sheetName val="TOTAL_BOQ-SN&amp;FP2"/>
      <sheetName val="TOTAL_BOQ-AC2"/>
      <sheetName val="TOTAL_BOQ-EE2"/>
      <sheetName val="Duct_Bank2"/>
      <sheetName val="ราคา_LC_-_CU2"/>
      <sheetName val="HV_-LV2"/>
      <sheetName val="DP_to_LC2"/>
      <sheetName val="FIRE_ALARM2"/>
      <sheetName val="LIGHTNING_PROTECTION2"/>
      <sheetName val="Struc__2"/>
      <sheetName val="BK_Unit_Rate2"/>
      <sheetName val="Main_Sum_(Hotel_&amp;_Residences)1"/>
      <sheetName val="Factor_F_Data1"/>
      <sheetName val="ประมาณการประตูหน้าต่าง_1"/>
      <sheetName val="General_Data1"/>
      <sheetName val="S3_Architectural1"/>
      <sheetName val="FS"/>
      <sheetName val="GEN SA"/>
      <sheetName val="Sch_1"/>
      <sheetName val="Sch_2"/>
      <sheetName val="Sch_3"/>
      <sheetName val="Sch_4"/>
      <sheetName val="escon"/>
      <sheetName val="11"/>
      <sheetName val="12"/>
      <sheetName val="14"/>
      <sheetName val="15"/>
      <sheetName val="16"/>
      <sheetName val="18"/>
      <sheetName val="19"/>
      <sheetName val="21"/>
      <sheetName val="26"/>
      <sheetName val="28"/>
      <sheetName val="13"/>
      <sheetName val="17"/>
      <sheetName val="22"/>
      <sheetName val="23"/>
      <sheetName val="24"/>
      <sheetName val="25"/>
      <sheetName val="29"/>
      <sheetName val="8"/>
      <sheetName val="5"/>
      <sheetName val="4"/>
      <sheetName val="9"/>
      <sheetName val="1"/>
      <sheetName val="7"/>
      <sheetName val="6"/>
      <sheetName val="10"/>
      <sheetName val="3"/>
      <sheetName val="2"/>
      <sheetName val="20"/>
      <sheetName val="u_rates"/>
      <sheetName val="Master01"/>
      <sheetName val="COLUMN"/>
      <sheetName val="D"/>
      <sheetName val="FlatBottomClarifier (Not used)"/>
      <sheetName val="CA"/>
      <sheetName val="Cert1"/>
      <sheetName val="Detail"/>
      <sheetName val="Bill No. 2 - Carpark"/>
      <sheetName val="SH-A"/>
      <sheetName val="Book 1 Summary"/>
      <sheetName val="CODN9"/>
      <sheetName val="ชร.181-2562"/>
      <sheetName val="REP-L"/>
      <sheetName val="공통가설"/>
      <sheetName val="SUMMARY"/>
      <sheetName val="TYPE SD150"/>
      <sheetName val="List"/>
      <sheetName val="SAN_REDUCED_14"/>
      <sheetName val="FACTOR_(%)3"/>
      <sheetName val="TOTAL_BOQ-SN&amp;FP3"/>
      <sheetName val="TOTAL_BOQ-AC3"/>
      <sheetName val="TOTAL_BOQ-EE3"/>
      <sheetName val="Duct_Bank3"/>
      <sheetName val="ราคา_LC_-_CU3"/>
      <sheetName val="HV_-LV3"/>
      <sheetName val="DP_to_LC3"/>
      <sheetName val="FIRE_ALARM3"/>
      <sheetName val="LIGHTNING_PROTECTION3"/>
      <sheetName val="Struc__3"/>
      <sheetName val="BK_Unit_Rate3"/>
      <sheetName val="Main_Sum_(Hotel_&amp;_Residences)2"/>
      <sheetName val="Factor_F_Data2"/>
      <sheetName val="ประมาณการประตูหน้าต่าง_2"/>
      <sheetName val="General_Data2"/>
      <sheetName val="S3_Architectural2"/>
      <sheetName val="EXP__SPI&amp;ICT"/>
      <sheetName val="ee_unit_type"/>
      <sheetName val="ee_build_"/>
      <sheetName val="DO"/>
      <sheetName val="CER"/>
      <sheetName val="Gen"/>
      <sheetName val="L36"/>
      <sheetName val="L37"/>
      <sheetName val="PC RATE"/>
      <sheetName val="BM"/>
      <sheetName val="PCR-Building A"/>
      <sheetName val="PCR-Building B"/>
      <sheetName val="PCR-Building C"/>
      <sheetName val="PCR-Building D"/>
      <sheetName val="RAB AR&amp;STR"/>
      <sheetName val="P2m"/>
      <sheetName val="footing"/>
      <sheetName val="opstat"/>
      <sheetName val="costs"/>
      <sheetName val="Eq. Mobilization"/>
      <sheetName val="Office Space"/>
      <sheetName val="3.1_Work Issue"/>
      <sheetName val="2.1_Milestone"/>
      <sheetName val="Setting"/>
      <sheetName val="Sheet4"/>
      <sheetName val="Job B (เครม)"/>
      <sheetName val="Job G"/>
      <sheetName val="รวมราคาทั้งสิ้น"/>
      <sheetName val="Total"/>
      <sheetName val="เบิกงวดที่_1"/>
      <sheetName val="เบิกงวดที่_1_(แก้ไข)"/>
      <sheetName val="ถอดแบบ_(2)"/>
      <sheetName val="Sch_31"/>
      <sheetName val="GEN_SA"/>
      <sheetName val="Unit_rate_Architecture"/>
      <sheetName val="10_ข้อมูลวัสดุ-ค่าดำเนิน"/>
      <sheetName val="Bill_No__2_-_Carpark"/>
      <sheetName val="Book_1_Summary"/>
      <sheetName val="Department"/>
      <sheetName val="Attribute"/>
      <sheetName val="Class(ห้ามลบ)"/>
      <sheetName val="Class_Sub(ห้ามลบ)"/>
      <sheetName val="Compare Adj Bank Fee"/>
      <sheetName val="สัดส่วนถนนภาระจำยอม (17m)"/>
      <sheetName val="FINAL-AREA"/>
      <sheetName val="อาวัล (17m)"/>
      <sheetName val="SL&amp;TR plan 2019"/>
      <sheetName val="Event"/>
      <sheetName val="MK"/>
      <sheetName val="Graph"/>
      <sheetName val="Sales 19"/>
      <sheetName val="Revenue 19"/>
      <sheetName val="Potential"/>
      <sheetName val="Sales 2019"/>
      <sheetName val="TR 2019"/>
      <sheetName val="Backlog'19"/>
      <sheetName val="Cancelled"/>
      <sheetName val="จอง-โอน"/>
      <sheetName val="Backlog'18"/>
      <sheetName val="BANK"/>
      <sheetName val="รายงาน CRM"/>
      <sheetName val="Com Rent"/>
      <sheetName val="流通費"/>
      <sheetName val="試験研究費"/>
      <sheetName val="製造原価"/>
      <sheetName val="send"/>
      <sheetName val="sum"/>
      <sheetName val="ปั๊ม SSP อาคารเดิม"/>
      <sheetName val="Sheet3"/>
      <sheetName val="san"/>
      <sheetName val="ac"/>
      <sheetName val="DUCT"/>
      <sheetName val="ee"/>
      <sheetName val="supan"/>
      <sheetName val="Assumptions"/>
      <sheetName val="Timing"/>
      <sheetName val="Scenario 1A,B,C"/>
      <sheetName val="Scenario 2A,B,C"/>
      <sheetName val="Scenario 3A,B,C"/>
      <sheetName val="SVA"/>
      <sheetName val="Sheet10"/>
      <sheetName val="Sheet11"/>
      <sheetName val="Sheet12"/>
      <sheetName val="Sheet13"/>
      <sheetName val="Sheet14"/>
      <sheetName val="Sheet15"/>
      <sheetName val="Sheet16"/>
      <sheetName val="Basic Assum"/>
      <sheetName val="Sales Assum-Base Case"/>
      <sheetName val="Cashflow-Base Case"/>
      <sheetName val="680"/>
      <sheetName val="wk prgs"/>
      <sheetName val="ไม่ใช้"/>
      <sheetName val="ใช้หน้านี้"/>
      <sheetName val="S-CUVE-2 14 M"/>
      <sheetName val="Drop List"/>
      <sheetName val="PCR-Building_A"/>
      <sheetName val="PCR-Building_B"/>
      <sheetName val="PCR-Building_C"/>
      <sheetName val="PCR-Building_D"/>
      <sheetName val="FlatBottomClarifier_(Not_used)"/>
      <sheetName val="S1_PIL"/>
      <sheetName val="S2_ST"/>
      <sheetName val="S3_ARC"/>
      <sheetName val="S4_ID"/>
      <sheetName val="S5_EXT"/>
      <sheetName val="SB.6.2_SN"/>
      <sheetName val="SB.6.3_FP"/>
      <sheetName val="SB.6.4_AC"/>
      <sheetName val="Sheet2"/>
      <sheetName val="입찰내역 발주처 양식"/>
      <sheetName val="FitOutConfCentre"/>
      <sheetName val="RE"/>
      <sheetName val="FG_LOCAL"/>
      <sheetName val="Char"/>
      <sheetName val="index"/>
      <sheetName val="SH-F"/>
      <sheetName val="Rate analysis"/>
      <sheetName val="Material Price List"/>
      <sheetName val="Cert"/>
      <sheetName val="Sch 2"/>
      <sheetName val="総合B"/>
      <sheetName val="TB-12"/>
      <sheetName val="Nordeste"/>
      <sheetName val="Consolidado"/>
      <sheetName val="CfyBs"/>
      <sheetName val="DETAIL "/>
      <sheetName val="TYPE_SD150"/>
      <sheetName val="ชร_181-2562"/>
      <sheetName val="PC_RATE"/>
      <sheetName val="Prod-1"/>
      <sheetName val="boq"/>
      <sheetName val="Cost per SQM_M&amp;E"/>
      <sheetName val="เงินสำรองเกษียยณอายุ"/>
      <sheetName val="SAN_REDUCED_15"/>
      <sheetName val="FACTOR_(%)4"/>
      <sheetName val="TOTAL_BOQ-SN&amp;FP4"/>
      <sheetName val="TOTAL_BOQ-AC4"/>
      <sheetName val="TOTAL_BOQ-EE4"/>
      <sheetName val="Duct_Bank4"/>
      <sheetName val="ราคา_LC_-_CU4"/>
      <sheetName val="HV_-LV4"/>
      <sheetName val="DP_to_LC4"/>
      <sheetName val="FIRE_ALARM4"/>
      <sheetName val="LIGHTNING_PROTECTION4"/>
      <sheetName val="Struc__4"/>
      <sheetName val="BK_Unit_Rate4"/>
      <sheetName val="Main_Sum_(Hotel_&amp;_Residences)3"/>
      <sheetName val="Factor_F_Data3"/>
      <sheetName val="ประมาณการประตูหน้าต่าง_3"/>
      <sheetName val="General_Data3"/>
      <sheetName val="S3_Architectural3"/>
      <sheetName val="TYPE_SD1501"/>
      <sheetName val="EXP__SPI&amp;ICT1"/>
      <sheetName val="Sch_32"/>
      <sheetName val="ee_unit_type1"/>
      <sheetName val="ee_build_1"/>
      <sheetName val="Unit_rate_Architecture1"/>
      <sheetName val="เบิกงวดที่_11"/>
      <sheetName val="เบิกงวดที่_1_(แก้ไข)1"/>
      <sheetName val="ถอดแบบ_(2)1"/>
      <sheetName val="GEN_SA1"/>
      <sheetName val="Bill_No__2_-_Carpark1"/>
      <sheetName val="Book_1_Summary1"/>
      <sheetName val="10_ข้อมูลวัสดุ-ค่าดำเนิน1"/>
      <sheetName val="FlatBottomClarifier_(Not_used)1"/>
      <sheetName val="ชร_181-25621"/>
      <sheetName val="PC_RATE1"/>
    </sheetNames>
    <sheetDataSet>
      <sheetData sheetId="0">
        <row r="6">
          <cell r="K6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K6">
            <v>3</v>
          </cell>
        </row>
      </sheetData>
      <sheetData sheetId="9">
        <row r="6">
          <cell r="K6">
            <v>3</v>
          </cell>
        </row>
      </sheetData>
      <sheetData sheetId="10">
        <row r="6">
          <cell r="K6">
            <v>3</v>
          </cell>
        </row>
      </sheetData>
      <sheetData sheetId="11">
        <row r="6">
          <cell r="K6">
            <v>3</v>
          </cell>
        </row>
      </sheetData>
      <sheetData sheetId="12">
        <row r="6">
          <cell r="K6">
            <v>3</v>
          </cell>
        </row>
      </sheetData>
      <sheetData sheetId="13">
        <row r="6">
          <cell r="K6">
            <v>3</v>
          </cell>
        </row>
      </sheetData>
      <sheetData sheetId="14">
        <row r="6">
          <cell r="K6">
            <v>3</v>
          </cell>
        </row>
      </sheetData>
      <sheetData sheetId="15">
        <row r="6">
          <cell r="K6">
            <v>3</v>
          </cell>
        </row>
      </sheetData>
      <sheetData sheetId="16">
        <row r="6">
          <cell r="K6">
            <v>3</v>
          </cell>
        </row>
      </sheetData>
      <sheetData sheetId="17">
        <row r="6">
          <cell r="K6">
            <v>3</v>
          </cell>
        </row>
      </sheetData>
      <sheetData sheetId="18">
        <row r="6">
          <cell r="K6">
            <v>3</v>
          </cell>
        </row>
      </sheetData>
      <sheetData sheetId="19">
        <row r="6">
          <cell r="K6">
            <v>3</v>
          </cell>
        </row>
      </sheetData>
      <sheetData sheetId="20">
        <row r="6">
          <cell r="K6">
            <v>3</v>
          </cell>
        </row>
      </sheetData>
      <sheetData sheetId="21">
        <row r="6">
          <cell r="K6">
            <v>3</v>
          </cell>
        </row>
      </sheetData>
      <sheetData sheetId="22">
        <row r="6">
          <cell r="K6">
            <v>3</v>
          </cell>
        </row>
      </sheetData>
      <sheetData sheetId="23">
        <row r="6">
          <cell r="K6">
            <v>3</v>
          </cell>
        </row>
      </sheetData>
      <sheetData sheetId="24">
        <row r="6">
          <cell r="K6">
            <v>3</v>
          </cell>
        </row>
      </sheetData>
      <sheetData sheetId="25">
        <row r="6">
          <cell r="K6">
            <v>3</v>
          </cell>
        </row>
      </sheetData>
      <sheetData sheetId="26">
        <row r="6">
          <cell r="K6">
            <v>3</v>
          </cell>
        </row>
      </sheetData>
      <sheetData sheetId="27">
        <row r="6">
          <cell r="K6">
            <v>3</v>
          </cell>
        </row>
      </sheetData>
      <sheetData sheetId="28">
        <row r="6">
          <cell r="K6">
            <v>3</v>
          </cell>
        </row>
      </sheetData>
      <sheetData sheetId="29">
        <row r="6">
          <cell r="K6">
            <v>3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6">
          <cell r="K6">
            <v>3</v>
          </cell>
        </row>
      </sheetData>
      <sheetData sheetId="46">
        <row r="6">
          <cell r="K6">
            <v>3</v>
          </cell>
        </row>
      </sheetData>
      <sheetData sheetId="47">
        <row r="6">
          <cell r="K6">
            <v>3</v>
          </cell>
        </row>
      </sheetData>
      <sheetData sheetId="48">
        <row r="6">
          <cell r="K6">
            <v>3</v>
          </cell>
        </row>
      </sheetData>
      <sheetData sheetId="49">
        <row r="6">
          <cell r="K6">
            <v>3</v>
          </cell>
        </row>
      </sheetData>
      <sheetData sheetId="50">
        <row r="6">
          <cell r="K6">
            <v>3</v>
          </cell>
        </row>
      </sheetData>
      <sheetData sheetId="51">
        <row r="6">
          <cell r="K6">
            <v>3</v>
          </cell>
        </row>
      </sheetData>
      <sheetData sheetId="52">
        <row r="6">
          <cell r="K6">
            <v>3</v>
          </cell>
        </row>
      </sheetData>
      <sheetData sheetId="53">
        <row r="6">
          <cell r="K6">
            <v>3</v>
          </cell>
        </row>
      </sheetData>
      <sheetData sheetId="54">
        <row r="6">
          <cell r="K6">
            <v>3</v>
          </cell>
        </row>
      </sheetData>
      <sheetData sheetId="55">
        <row r="6">
          <cell r="K6">
            <v>3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6">
          <cell r="K6">
            <v>3</v>
          </cell>
        </row>
      </sheetData>
      <sheetData sheetId="74">
        <row r="6">
          <cell r="K6">
            <v>3</v>
          </cell>
        </row>
      </sheetData>
      <sheetData sheetId="75">
        <row r="6">
          <cell r="K6">
            <v>3</v>
          </cell>
        </row>
      </sheetData>
      <sheetData sheetId="76">
        <row r="6">
          <cell r="K6">
            <v>3</v>
          </cell>
        </row>
      </sheetData>
      <sheetData sheetId="77">
        <row r="6">
          <cell r="K6">
            <v>3</v>
          </cell>
        </row>
      </sheetData>
      <sheetData sheetId="78">
        <row r="6">
          <cell r="K6">
            <v>3</v>
          </cell>
        </row>
      </sheetData>
      <sheetData sheetId="79">
        <row r="6">
          <cell r="K6">
            <v>3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6">
          <cell r="K6">
            <v>3</v>
          </cell>
        </row>
      </sheetData>
      <sheetData sheetId="86">
        <row r="6">
          <cell r="K6">
            <v>3</v>
          </cell>
        </row>
      </sheetData>
      <sheetData sheetId="87">
        <row r="6">
          <cell r="K6">
            <v>3</v>
          </cell>
        </row>
      </sheetData>
      <sheetData sheetId="88" refreshError="1"/>
      <sheetData sheetId="89">
        <row r="6">
          <cell r="K6">
            <v>3</v>
          </cell>
        </row>
      </sheetData>
      <sheetData sheetId="90">
        <row r="6">
          <cell r="K6">
            <v>3</v>
          </cell>
        </row>
      </sheetData>
      <sheetData sheetId="91">
        <row r="6">
          <cell r="K6">
            <v>3</v>
          </cell>
        </row>
      </sheetData>
      <sheetData sheetId="92">
        <row r="6">
          <cell r="K6">
            <v>3</v>
          </cell>
        </row>
      </sheetData>
      <sheetData sheetId="93">
        <row r="6">
          <cell r="K6">
            <v>3</v>
          </cell>
        </row>
      </sheetData>
      <sheetData sheetId="94">
        <row r="6">
          <cell r="K6">
            <v>3</v>
          </cell>
        </row>
      </sheetData>
      <sheetData sheetId="95">
        <row r="6">
          <cell r="K6">
            <v>3</v>
          </cell>
        </row>
      </sheetData>
      <sheetData sheetId="96">
        <row r="6">
          <cell r="K6">
            <v>3</v>
          </cell>
        </row>
      </sheetData>
      <sheetData sheetId="97">
        <row r="6">
          <cell r="K6">
            <v>3</v>
          </cell>
        </row>
      </sheetData>
      <sheetData sheetId="98">
        <row r="6">
          <cell r="K6">
            <v>3</v>
          </cell>
        </row>
      </sheetData>
      <sheetData sheetId="99">
        <row r="6">
          <cell r="K6">
            <v>3</v>
          </cell>
        </row>
      </sheetData>
      <sheetData sheetId="100">
        <row r="6">
          <cell r="K6">
            <v>3</v>
          </cell>
        </row>
      </sheetData>
      <sheetData sheetId="101">
        <row r="6">
          <cell r="K6">
            <v>3</v>
          </cell>
        </row>
      </sheetData>
      <sheetData sheetId="102">
        <row r="6">
          <cell r="K6">
            <v>3</v>
          </cell>
        </row>
      </sheetData>
      <sheetData sheetId="103">
        <row r="6">
          <cell r="K6">
            <v>3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6">
          <cell r="K6">
            <v>3</v>
          </cell>
        </row>
      </sheetData>
      <sheetData sheetId="111">
        <row r="6">
          <cell r="K6">
            <v>3</v>
          </cell>
        </row>
      </sheetData>
      <sheetData sheetId="112">
        <row r="6">
          <cell r="K6">
            <v>3</v>
          </cell>
        </row>
      </sheetData>
      <sheetData sheetId="113">
        <row r="6">
          <cell r="K6">
            <v>3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6">
          <cell r="K6">
            <v>3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6">
          <cell r="K6">
            <v>3</v>
          </cell>
        </row>
      </sheetData>
      <sheetData sheetId="139">
        <row r="6">
          <cell r="K6">
            <v>3</v>
          </cell>
        </row>
      </sheetData>
      <sheetData sheetId="140">
        <row r="6">
          <cell r="K6">
            <v>3</v>
          </cell>
        </row>
      </sheetData>
      <sheetData sheetId="141">
        <row r="6">
          <cell r="K6">
            <v>3</v>
          </cell>
        </row>
      </sheetData>
      <sheetData sheetId="142">
        <row r="6">
          <cell r="K6">
            <v>3</v>
          </cell>
        </row>
      </sheetData>
      <sheetData sheetId="143">
        <row r="6">
          <cell r="K6">
            <v>3</v>
          </cell>
        </row>
      </sheetData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>
        <row r="6">
          <cell r="K6">
            <v>3</v>
          </cell>
        </row>
      </sheetData>
      <sheetData sheetId="220">
        <row r="6">
          <cell r="K6">
            <v>3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6">
          <cell r="K6">
            <v>3</v>
          </cell>
        </row>
      </sheetData>
      <sheetData sheetId="237" refreshError="1"/>
      <sheetData sheetId="238">
        <row r="6">
          <cell r="K6">
            <v>3</v>
          </cell>
        </row>
      </sheetData>
      <sheetData sheetId="239">
        <row r="6">
          <cell r="K6">
            <v>3</v>
          </cell>
        </row>
      </sheetData>
      <sheetData sheetId="240">
        <row r="6">
          <cell r="K6">
            <v>3</v>
          </cell>
        </row>
      </sheetData>
      <sheetData sheetId="241"/>
      <sheetData sheetId="242">
        <row r="6">
          <cell r="K6">
            <v>3</v>
          </cell>
        </row>
      </sheetData>
      <sheetData sheetId="243">
        <row r="6">
          <cell r="K6">
            <v>3</v>
          </cell>
        </row>
      </sheetData>
      <sheetData sheetId="244"/>
      <sheetData sheetId="245"/>
      <sheetData sheetId="246" refreshError="1"/>
      <sheetData sheetId="247">
        <row r="6">
          <cell r="K6">
            <v>3</v>
          </cell>
        </row>
      </sheetData>
      <sheetData sheetId="248">
        <row r="6">
          <cell r="K6">
            <v>3</v>
          </cell>
        </row>
      </sheetData>
      <sheetData sheetId="249" refreshError="1"/>
      <sheetData sheetId="250" refreshError="1"/>
      <sheetData sheetId="251" refreshError="1"/>
      <sheetData sheetId="252">
        <row r="6">
          <cell r="K6">
            <v>3</v>
          </cell>
        </row>
      </sheetData>
      <sheetData sheetId="253">
        <row r="6">
          <cell r="K6">
            <v>3</v>
          </cell>
        </row>
      </sheetData>
      <sheetData sheetId="254">
        <row r="6">
          <cell r="K6">
            <v>3</v>
          </cell>
        </row>
      </sheetData>
      <sheetData sheetId="255">
        <row r="6">
          <cell r="K6">
            <v>3</v>
          </cell>
        </row>
      </sheetData>
      <sheetData sheetId="256">
        <row r="6">
          <cell r="K6">
            <v>3</v>
          </cell>
        </row>
      </sheetData>
      <sheetData sheetId="257">
        <row r="6">
          <cell r="K6">
            <v>3</v>
          </cell>
        </row>
      </sheetData>
      <sheetData sheetId="258">
        <row r="6">
          <cell r="K6">
            <v>3</v>
          </cell>
        </row>
      </sheetData>
      <sheetData sheetId="259">
        <row r="6">
          <cell r="K6">
            <v>3</v>
          </cell>
        </row>
      </sheetData>
      <sheetData sheetId="260">
        <row r="6">
          <cell r="K6">
            <v>3</v>
          </cell>
        </row>
      </sheetData>
      <sheetData sheetId="261">
        <row r="6">
          <cell r="K6">
            <v>3</v>
          </cell>
        </row>
      </sheetData>
      <sheetData sheetId="262">
        <row r="6">
          <cell r="K6">
            <v>3</v>
          </cell>
        </row>
      </sheetData>
      <sheetData sheetId="263">
        <row r="6">
          <cell r="K6">
            <v>3</v>
          </cell>
        </row>
      </sheetData>
      <sheetData sheetId="264">
        <row r="6">
          <cell r="K6">
            <v>3</v>
          </cell>
        </row>
      </sheetData>
      <sheetData sheetId="265">
        <row r="6">
          <cell r="K6">
            <v>3</v>
          </cell>
        </row>
      </sheetData>
      <sheetData sheetId="266">
        <row r="6">
          <cell r="K6">
            <v>3</v>
          </cell>
        </row>
      </sheetData>
      <sheetData sheetId="267">
        <row r="6">
          <cell r="K6">
            <v>3</v>
          </cell>
        </row>
      </sheetData>
      <sheetData sheetId="268">
        <row r="6">
          <cell r="K6">
            <v>3</v>
          </cell>
        </row>
      </sheetData>
      <sheetData sheetId="269">
        <row r="6">
          <cell r="K6">
            <v>3</v>
          </cell>
        </row>
      </sheetData>
      <sheetData sheetId="270">
        <row r="6">
          <cell r="K6">
            <v>3</v>
          </cell>
        </row>
      </sheetData>
      <sheetData sheetId="271" refreshError="1"/>
      <sheetData sheetId="272" refreshError="1"/>
      <sheetData sheetId="273" refreshError="1"/>
      <sheetData sheetId="274">
        <row r="6">
          <cell r="K6">
            <v>3</v>
          </cell>
        </row>
      </sheetData>
      <sheetData sheetId="275">
        <row r="6">
          <cell r="K6">
            <v>3</v>
          </cell>
        </row>
      </sheetData>
      <sheetData sheetId="276">
        <row r="6">
          <cell r="K6">
            <v>3</v>
          </cell>
        </row>
      </sheetData>
      <sheetData sheetId="277">
        <row r="6">
          <cell r="K6">
            <v>3</v>
          </cell>
        </row>
      </sheetData>
      <sheetData sheetId="278">
        <row r="6">
          <cell r="K6">
            <v>3</v>
          </cell>
        </row>
      </sheetData>
      <sheetData sheetId="279">
        <row r="6">
          <cell r="K6">
            <v>3</v>
          </cell>
        </row>
      </sheetData>
      <sheetData sheetId="280">
        <row r="6">
          <cell r="K6">
            <v>3</v>
          </cell>
        </row>
      </sheetData>
      <sheetData sheetId="281">
        <row r="6">
          <cell r="K6">
            <v>3</v>
          </cell>
        </row>
      </sheetData>
      <sheetData sheetId="282">
        <row r="6">
          <cell r="K6">
            <v>3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>
        <row r="6">
          <cell r="K6">
            <v>3</v>
          </cell>
        </row>
      </sheetData>
      <sheetData sheetId="306">
        <row r="6">
          <cell r="K6">
            <v>3</v>
          </cell>
        </row>
      </sheetData>
      <sheetData sheetId="307"/>
      <sheetData sheetId="308"/>
      <sheetData sheetId="309"/>
      <sheetData sheetId="310"/>
      <sheetData sheetId="311">
        <row r="6">
          <cell r="K6">
            <v>3</v>
          </cell>
        </row>
      </sheetData>
      <sheetData sheetId="312">
        <row r="6">
          <cell r="K6">
            <v>3</v>
          </cell>
        </row>
      </sheetData>
      <sheetData sheetId="313">
        <row r="6">
          <cell r="K6">
            <v>3</v>
          </cell>
        </row>
      </sheetData>
      <sheetData sheetId="314">
        <row r="6">
          <cell r="K6">
            <v>3</v>
          </cell>
        </row>
      </sheetData>
      <sheetData sheetId="315">
        <row r="6">
          <cell r="K6">
            <v>3</v>
          </cell>
        </row>
      </sheetData>
      <sheetData sheetId="316">
        <row r="6">
          <cell r="K6">
            <v>3</v>
          </cell>
        </row>
      </sheetData>
      <sheetData sheetId="317">
        <row r="6">
          <cell r="K6">
            <v>3</v>
          </cell>
        </row>
      </sheetData>
      <sheetData sheetId="318">
        <row r="6">
          <cell r="K6">
            <v>3</v>
          </cell>
        </row>
      </sheetData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>
        <row r="6">
          <cell r="K6">
            <v>3</v>
          </cell>
        </row>
      </sheetData>
      <sheetData sheetId="337">
        <row r="6">
          <cell r="K6">
            <v>3</v>
          </cell>
        </row>
      </sheetData>
      <sheetData sheetId="338">
        <row r="6">
          <cell r="K6">
            <v>3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>
        <row r="6">
          <cell r="K6">
            <v>3</v>
          </cell>
        </row>
      </sheetData>
      <sheetData sheetId="344">
        <row r="6">
          <cell r="K6">
            <v>3</v>
          </cell>
        </row>
      </sheetData>
      <sheetData sheetId="345">
        <row r="6">
          <cell r="K6">
            <v>3</v>
          </cell>
        </row>
      </sheetData>
      <sheetData sheetId="346">
        <row r="6">
          <cell r="K6">
            <v>3</v>
          </cell>
        </row>
      </sheetData>
      <sheetData sheetId="347">
        <row r="6">
          <cell r="K6">
            <v>3</v>
          </cell>
        </row>
      </sheetData>
      <sheetData sheetId="348">
        <row r="6">
          <cell r="K6">
            <v>3</v>
          </cell>
        </row>
      </sheetData>
      <sheetData sheetId="349">
        <row r="6">
          <cell r="K6">
            <v>3</v>
          </cell>
        </row>
      </sheetData>
      <sheetData sheetId="350">
        <row r="6">
          <cell r="K6">
            <v>3</v>
          </cell>
        </row>
      </sheetData>
      <sheetData sheetId="351"/>
      <sheetData sheetId="352"/>
      <sheetData sheetId="353">
        <row r="6">
          <cell r="K6">
            <v>3</v>
          </cell>
        </row>
      </sheetData>
      <sheetData sheetId="354"/>
      <sheetData sheetId="355"/>
      <sheetData sheetId="356"/>
      <sheetData sheetId="357">
        <row r="6">
          <cell r="K6">
            <v>3</v>
          </cell>
        </row>
      </sheetData>
      <sheetData sheetId="358">
        <row r="6">
          <cell r="K6">
            <v>3</v>
          </cell>
        </row>
      </sheetData>
      <sheetData sheetId="359"/>
      <sheetData sheetId="360">
        <row r="6">
          <cell r="K6">
            <v>3</v>
          </cell>
        </row>
      </sheetData>
      <sheetData sheetId="361"/>
      <sheetData sheetId="362"/>
      <sheetData sheetId="363"/>
      <sheetData sheetId="364">
        <row r="6">
          <cell r="K6">
            <v>3</v>
          </cell>
        </row>
      </sheetData>
      <sheetData sheetId="365">
        <row r="6">
          <cell r="K6">
            <v>3</v>
          </cell>
        </row>
      </sheetData>
      <sheetData sheetId="366"/>
      <sheetData sheetId="367">
        <row r="6">
          <cell r="K6">
            <v>3</v>
          </cell>
        </row>
      </sheetData>
      <sheetData sheetId="368">
        <row r="6">
          <cell r="K6">
            <v>3</v>
          </cell>
        </row>
      </sheetData>
      <sheetData sheetId="369"/>
      <sheetData sheetId="370"/>
      <sheetData sheetId="371"/>
      <sheetData sheetId="372"/>
      <sheetData sheetId="373">
        <row r="6">
          <cell r="K6">
            <v>3</v>
          </cell>
        </row>
      </sheetData>
      <sheetData sheetId="374"/>
      <sheetData sheetId="375"/>
      <sheetData sheetId="37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-1"/>
      <sheetName val="#REF"/>
      <sheetName val="escon"/>
      <sheetName val="FR"/>
      <sheetName val="SUM-AIR-Submit"/>
      <sheetName val="b_gunmul"/>
      <sheetName val="b_balju (2)"/>
      <sheetName val="S3 Architectural"/>
      <sheetName val="tifico"/>
      <sheetName val="경산"/>
      <sheetName val="upa"/>
      <sheetName val="opstat"/>
      <sheetName val="costs"/>
      <sheetName val="Discounted Cash Flo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55555"/>
      <sheetName val="ใบปะหน้าใหม่ Bidding"/>
      <sheetName val="ต้นไม้ทางเท้า"/>
      <sheetName val="SH-E"/>
      <sheetName val="Structure"/>
      <sheetName val="TYPE SD125"/>
      <sheetName val="Drop Down"/>
      <sheetName val="Sheet2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Sheet1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Sheet1 (2)"/>
      <sheetName val="sales3level"/>
      <sheetName val="Bill No. 2 - Carpark"/>
      <sheetName val="sheetNO"/>
      <sheetName val="ZPS02"/>
      <sheetName val="I-slab"/>
      <sheetName val="Driver"/>
      <sheetName val="วัดใต้"/>
      <sheetName val="Table Name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Tax coupon"/>
      <sheetName val="PGMMNG"/>
      <sheetName val="Macro5"/>
      <sheetName val="PRO-TOTAL"/>
      <sheetName val="stat local"/>
      <sheetName val="UPC_SKU"/>
      <sheetName val="ตารางคำนวณกระเบื้อง A"/>
      <sheetName val="DDL"/>
      <sheetName val="BAL"/>
      <sheetName val="ลูกหนี้(เก่า)"/>
      <sheetName val="Law data"/>
      <sheetName val="Index"/>
      <sheetName val="com"/>
      <sheetName val="Goal"/>
      <sheetName val="Data"/>
      <sheetName val="Volume Loco May 2015"/>
      <sheetName val="Summary"/>
      <sheetName val="Summary report"/>
      <sheetName val="JUNE"/>
      <sheetName val="Performance BP"/>
      <sheetName val="4.1CAPEX_Additional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code"/>
      <sheetName val="FR"/>
      <sheetName val="MyWork"/>
      <sheetName val="คำชี้แจง"/>
      <sheetName val="43"/>
      <sheetName val="Vender list"/>
      <sheetName val="SCG group"/>
      <sheetName val="List"/>
      <sheetName val="อ้างอิง"/>
      <sheetName val="2017"/>
      <sheetName val="Production Queue GB"/>
      <sheetName val="Master"/>
      <sheetName val="Prhd"/>
      <sheetName val="Control"/>
      <sheetName val="Cost center"/>
      <sheetName val="Account code"/>
      <sheetName val="Chart"/>
      <sheetName val="Comapny Name"/>
      <sheetName val="Company Name"/>
      <sheetName val="Mapping"/>
      <sheetName val="S-Plant"/>
      <sheetName val="Office_plants"/>
      <sheetName val="คำอธิบาย"/>
      <sheetName val="Sheet3"/>
      <sheetName val="Type ถูก House"/>
      <sheetName val="รายชื่อ"/>
      <sheetName val="Cases Actuals SAP"/>
      <sheetName val="Chilled Vol &amp; GS"/>
      <sheetName val="Master Query_SL"/>
      <sheetName val="Addresses"/>
      <sheetName val="PBSG Severance"/>
      <sheetName val=""/>
      <sheetName val="Zone"/>
      <sheetName val="Northeast"/>
      <sheetName val="PNT-QUOT-#3"/>
      <sheetName val="PNT-P3"/>
      <sheetName val="2018"/>
      <sheetName val="data validation"/>
      <sheetName val="Sheet5"/>
      <sheetName val="ห้ามลบ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แยกงบ"/>
      <sheetName val="สาเหตุ Error "/>
      <sheetName val="L410"/>
      <sheetName val="SCG Chemicals group"/>
      <sheetName val="Ref"/>
      <sheetName val="Config"/>
      <sheetName val="Dont delete!!"/>
      <sheetName val="stair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summary_ee"/>
      <sheetName val="ee_unit type"/>
      <sheetName val="ee_build 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cost center name"/>
      <sheetName val="TP"/>
      <sheetName val="ดอกเบี้ย TR2560"/>
      <sheetName val="S300"/>
      <sheetName val="Accure"/>
      <sheetName val="MasterTB"/>
      <sheetName val="F-1"/>
      <sheetName val="P300"/>
      <sheetName val="Materiality"/>
      <sheetName val="CF weekly"/>
      <sheetName val="1.CF (M)(Ratchatewee)"/>
      <sheetName val="1.CF (M)(Rama4)"/>
      <sheetName val="1.CF (M) (TL10ph2)"/>
      <sheetName val="TTL"/>
      <sheetName val="S3 Architectural"/>
      <sheetName val="rate"/>
      <sheetName val="ไม่ใช้"/>
      <sheetName val="ใช้หน้านี้"/>
      <sheetName val="S-CUVE-2 14 M"/>
      <sheetName val="Log CCR TG 3"/>
      <sheetName val="Month"/>
      <sheetName val="DTA"/>
      <sheetName val="2019"/>
      <sheetName val="Assumption"/>
      <sheetName val="TB(PY 2016)"/>
      <sheetName val="IS"/>
      <sheetName val="GL"/>
      <sheetName val="Risk Level"/>
      <sheetName val="Risk Category"/>
      <sheetName val="Business"/>
      <sheetName val="DD List"/>
      <sheetName val="Ms"/>
      <sheetName val="Variance"/>
      <sheetName val="REPORT"/>
      <sheetName val="Master TB"/>
      <sheetName val="H300"/>
      <sheetName val="F-3"/>
      <sheetName val="K400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V1"/>
      <sheetName val="V7 Confirm RPT"/>
      <sheetName val="Multi Rater"/>
      <sheetName val="#REF"/>
      <sheetName val="Status"/>
      <sheetName val="Trial Balance"/>
      <sheetName val="Data_2"/>
      <sheetName val="설계내역서"/>
      <sheetName val="Discounted Cash Flow"/>
      <sheetName val="6.ข้อมูลวัสดุ-ค่าดำเนิน"/>
      <sheetName val="A"/>
      <sheetName val="JobSetup"/>
      <sheetName val="Proposal Form"/>
      <sheetName val="BQ-Ext  "/>
      <sheetName val="Sch 2"/>
      <sheetName val="Commun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Demand"/>
      <sheetName val="Occ"/>
      <sheetName val="코드관리"/>
      <sheetName val="SUM-AIR-Submit"/>
      <sheetName val="KKC Brkdwn"/>
      <sheetName val="SPT vs PHI"/>
      <sheetName val="escon"/>
      <sheetName val="Store"/>
      <sheetName val="PROJECT BRIEF"/>
      <sheetName val="footing"/>
      <sheetName val="upa"/>
      <sheetName val="Master COA V21"/>
      <sheetName val="Factor F Data"/>
      <sheetName val="PL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สรุป"/>
      <sheetName val="ชลทิพย์"/>
      <sheetName val="beer-indstry"/>
      <sheetName val="Wkgs_BS Lead"/>
      <sheetName val="RE9604"/>
      <sheetName val="summary1-2"/>
      <sheetName val="summary1-3"/>
      <sheetName val="発停サイクル表"/>
      <sheetName val="BS"/>
      <sheetName val="Reason"/>
      <sheetName val="Dropdown list 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Summary 31Mar'20"/>
      <sheetName val="2020"/>
      <sheetName val="ESS Performance 2020+2021"/>
      <sheetName val="S330 Increase salary rate"/>
      <sheetName val="Designated P&amp;L"/>
      <sheetName val="MasterBrand"/>
      <sheetName val="data บัญชี"/>
      <sheetName val="ฐานข้อมูล"/>
      <sheetName val="Data (2)"/>
      <sheetName val="ZA110 Sale"/>
      <sheetName val="masterEO IO"/>
      <sheetName val="กำหนดค่า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TT-2"/>
      <sheetName val="interest income from VMI"/>
      <sheetName val="interest payable to PSH"/>
      <sheetName val="Reference(do not delete)"/>
      <sheetName val="Parameters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Employee EN"/>
      <sheetName val="PGM_2LEVYTD"/>
      <sheetName val="Mat"/>
      <sheetName val="Reference(do_not_delete)"/>
      <sheetName val="LS"/>
      <sheetName val="Info"/>
      <sheetName val="DO"/>
      <sheetName val="磨煤加压"/>
      <sheetName val="Final Summary - Base"/>
      <sheetName val="1B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  <sheetName val="slipsumpR"/>
      <sheetName val="Utility and Fire flange"/>
      <sheetName val="NOT"/>
      <sheetName val="STart"/>
      <sheetName val="Data (Forecast-m3)"/>
      <sheetName val="Status Budget"/>
      <sheetName val="SCHEDULE 10_BUILD MANAGEMENT"/>
      <sheetName val="Sheet"/>
      <sheetName val="ตารางวันหยุด"/>
      <sheetName val="Emp_Data"/>
      <sheetName val="SHT1-CONSOL"/>
      <sheetName val="Spread"/>
      <sheetName val="5X"/>
      <sheetName val="Sales"/>
      <sheetName val="ค่าเริ่มต้น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Activity Q1"/>
      <sheetName val="สีแถมโซดา"/>
      <sheetName val="ข้อมูลทำ DropDown"/>
      <sheetName val="95059D"/>
      <sheetName val="โซนโฟกัส TT"/>
      <sheetName val="รายพนักงาน"/>
      <sheetName val="แนวทาง"/>
      <sheetName val="2021"/>
      <sheetName val="dataยอดขายทีมนิยมไทย"/>
      <sheetName val="ขน2019"/>
      <sheetName val="ขน2020"/>
      <sheetName val="ขน2021"/>
      <sheetName val="แผนใหม่-BG22 รายเอเย่นต์"/>
      <sheetName val="In AG VS Sub"/>
      <sheetName val="Calendar_นายสรศักดิ์ กล่ำศรี"/>
      <sheetName val="ยอดขาย"/>
      <sheetName val="สรุปโซนโฟกัส TT"/>
      <sheetName val="มีค 64"/>
      <sheetName val="S-CUVE-2_14_M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Mapping account"/>
      <sheetName val="FF-3"/>
      <sheetName val="bill 2"/>
      <sheetName val="cover page"/>
      <sheetName val="Material Price List"/>
      <sheetName val="AP BUY"/>
      <sheetName val="Agreement"/>
      <sheetName val="Summary BOQ"/>
      <sheetName val="Summary BOQ (ผรม)"/>
      <sheetName val="BOQ"/>
      <sheetName val="Summary BOQ (2)"/>
      <sheetName val="Summary BOQ (ผรม) (2)"/>
      <sheetName val="BOQ (2)"/>
      <sheetName val="Summary BOQ (TPN)"/>
      <sheetName val="Summary BOQ (ผรม) (TPN)"/>
      <sheetName val="BOQ (TPN)"/>
      <sheetName val="M.Payment"/>
      <sheetName val="SuspSb"/>
      <sheetName val="JSiar"/>
      <sheetName val="SW-TEO"/>
      <sheetName val="21"/>
      <sheetName val="asset"/>
      <sheetName val="Drop Down Lists"/>
      <sheetName val="List of Rem Entries - IS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TB 1-3"/>
      <sheetName val=" ANALYSIS FP"/>
      <sheetName val="Validation"/>
      <sheetName val="DataValidation_NotDelete"/>
      <sheetName val="TL"/>
      <sheetName val="マスタ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5200"/>
      <sheetName val="J01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Customer Name"/>
      <sheetName val="Sheet15"/>
      <sheetName val="Analytic Sales&amp;Cost"/>
      <sheetName val="Vendors Database"/>
      <sheetName val="EST-FOOTING (G)"/>
      <sheetName val="B1.02.2(IDP-2) (BCEG)"/>
      <sheetName val="B1.02.3(IDP-3)-DSG (BCEG)"/>
      <sheetName val="Profit_Budget"/>
      <sheetName val="Cert"/>
      <sheetName val="Take-off stru"/>
      <sheetName val="QUANTITY COMPARISON"/>
      <sheetName val="Cert-Rev1"/>
      <sheetName val="B2.01.1_Mitsu(VO)"/>
      <sheetName val="Cer- Sub"/>
      <sheetName val="B2.17_Skyline-BMU(Cert)"/>
      <sheetName val="B2.07_SMV(Progress)"/>
      <sheetName val="B2.09_Wayfit(Progress)"/>
      <sheetName val="B2.13_19th(MOS)"/>
      <sheetName val="B2.16_Linen Chute-Reenigue"/>
      <sheetName val="B2.03_Assa(Cert) "/>
      <sheetName val="B2.02_Opeable Wall-Hafele(Cert)"/>
      <sheetName val="Conclusion IPC 51"/>
      <sheetName val="A5_VO(Facade)"/>
      <sheetName val="A6 ATT(SPY-C) (VO)"/>
      <sheetName val="Keen (Re-PS)"/>
      <sheetName val="Bill"/>
      <sheetName val="Sum-Re-VO-AR"/>
      <sheetName val="ค่าวัสดุ"/>
      <sheetName val="PDPC0908"/>
      <sheetName val="Rank"/>
      <sheetName val="Equipment"/>
      <sheetName val="Main Sum (Hotel &amp; Residences)"/>
      <sheetName val="Listes Caractéristiques"/>
      <sheetName val="Liste Référentiel"/>
      <sheetName val="BOX Cryostat Details"/>
      <sheetName val="Driver Linac Layout"/>
      <sheetName val="Inputs"/>
      <sheetName val="Magnet Details"/>
      <sheetName val="Master01"/>
      <sheetName val="板房区目标成本"/>
      <sheetName val="Bldg"/>
      <sheetName val="GB1"/>
      <sheetName val="Blk A"/>
      <sheetName val="Out Flow"/>
      <sheetName val="Infra"/>
      <sheetName val="GFA"/>
      <sheetName val="Studio"/>
      <sheetName val="#REF!"/>
      <sheetName val="Sum Direct"/>
      <sheetName val="App A"/>
      <sheetName val="report detial"/>
      <sheetName val="Appendix#3 PBC - ICIS (ECH)"/>
      <sheetName val="Lookup data"/>
      <sheetName val="Main Summary"/>
      <sheetName val="SCIB_Proforma"/>
      <sheetName val="SCIB_Data"/>
      <sheetName val="Database"/>
      <sheetName val="Output"/>
      <sheetName val="Cctmst"/>
      <sheetName val="Rpt All states"/>
      <sheetName val="Rate Analysis"/>
      <sheetName val="입찰내역 발주처 양식"/>
      <sheetName val="Purchase Order"/>
      <sheetName val="(2)AIR"/>
      <sheetName val="rc"/>
      <sheetName val="PHASE I"/>
      <sheetName val="Cost per SQM_M&amp;E"/>
      <sheetName val="ภูมิทัศน์"/>
      <sheetName val="Mat_Source"/>
      <sheetName val="30's-Components"/>
      <sheetName val="118508"/>
      <sheetName val="612004"/>
      <sheetName val="Prepaid"/>
      <sheetName val="Sheet6"/>
      <sheetName val="Conso จัดลำดับลุกหนี้"/>
      <sheetName val="COUNT_wh_(2)2"/>
      <sheetName val="NTET2004_(DEC)2"/>
      <sheetName val="NEG2004_(DEC)2"/>
      <sheetName val="NEG2004_(DEC)_(2)2"/>
      <sheetName val="data_บัญชี"/>
      <sheetName val="Data_(2)"/>
      <sheetName val="ใบปะหน้าใหม่_Bidding2"/>
      <sheetName val="Min_-Max__Stock2"/>
      <sheetName val="Sheet1_(2)2"/>
      <sheetName val="Tax_coupon2"/>
      <sheetName val="ตารางคำนวณกระเบื้อง_A2"/>
      <sheetName val="stat_local2"/>
      <sheetName val="Law_data2"/>
      <sheetName val="4_1CAPEX_Additional2"/>
      <sheetName val="PULP_MILL2"/>
      <sheetName val="Volume_Loco_May_20152"/>
      <sheetName val="Summary_report2"/>
      <sheetName val="Performance_BP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mapny_Name2"/>
      <sheetName val="Cost_center2"/>
      <sheetName val="Account_code2"/>
      <sheetName val="Company_Name2"/>
      <sheetName val="masterEO_IO"/>
      <sheetName val="Table_Name2"/>
      <sheetName val="Cases_Actuals_SAP2"/>
      <sheetName val="Chilled_Vol_&amp;_GS2"/>
      <sheetName val="Master_Query_SL2"/>
      <sheetName val="PBSG_Severance2"/>
      <sheetName val="Vender_list2"/>
      <sheetName val="data_validation2"/>
      <sheetName val="สาเหตุ_Error_2"/>
      <sheetName val="SCG_Chemicals_group2"/>
      <sheetName val="Dont_delete!!2"/>
      <sheetName val="Production_Queue_GB2"/>
      <sheetName val="Type_ถูก_House2"/>
      <sheetName val="cost_center_name2"/>
      <sheetName val="ดอกเบี้ย_TR25602"/>
      <sheetName val="Log_CCR_TG_32"/>
      <sheetName val="Employee_EN"/>
      <sheetName val="DATA_(ชื่อสินค้า)"/>
      <sheetName val="CF_weekly2"/>
      <sheetName val="1_CF_(M)(Ratchatewee)2"/>
      <sheetName val="1_CF_(M)(Rama4)2"/>
      <sheetName val="1_CF_(M)_(TL10ph2)2"/>
      <sheetName val="Risk_Level2"/>
      <sheetName val="Risk_Category2"/>
      <sheetName val="TB(PY_2016)2"/>
      <sheetName val="Master_TB2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V7_Confirm_RPT2"/>
      <sheetName val="Trial_Balance2"/>
      <sheetName val="DD_List2"/>
      <sheetName val="Multi_Rater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Master_COA_V21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กระจาย_-NPDองุ่นเคียวโฮ"/>
      <sheetName val="Activity_Q1"/>
      <sheetName val="โซนโฟกัส_TT"/>
      <sheetName val="ข้อมูลทำ_DropDown"/>
      <sheetName val="ee_unit_type1"/>
      <sheetName val="ee_build_1"/>
      <sheetName val="Calendar_นายสรศักดิ์_กล่ำศรี"/>
      <sheetName val="แผนใหม่-BG22_รายเอเย่นต์"/>
      <sheetName val="In_AG_VS_Sub"/>
      <sheetName val="Dropdown_list_2"/>
      <sheetName val="Summary_31Mar'201"/>
      <sheetName val="S3_Architectural1"/>
      <sheetName val="ESS_Performance_2020+20211"/>
      <sheetName val="Reference(do_not_delete)1"/>
      <sheetName val="S330_Increase_salary_rate"/>
      <sheetName val="Wkgs_BS_Lead"/>
      <sheetName val="ZA110_Sale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สรุปโซนโฟกัส_TT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มีค_64"/>
      <sheetName val="Financ. Overview"/>
      <sheetName val="Toolbox"/>
      <sheetName val="Lead"/>
      <sheetName val="3C1"/>
      <sheetName val="Office Improve"/>
      <sheetName val="QS-Payment"/>
      <sheetName val="B2.03 (Assa)"/>
      <sheetName val="TOSHIBA-Structure"/>
      <sheetName val="PRICE LIST"/>
      <sheetName val="MTP"/>
      <sheetName val="ใบปะหน้าใหม่_Bidding3"/>
      <sheetName val="TYPE_SD1253"/>
      <sheetName val="Drop_Down3"/>
      <sheetName val="เลขที่ห้องทั้งหมด_(2)3"/>
      <sheetName val="F13รายชื่อแยกfolio_(2)3"/>
      <sheetName val="FEB_2007_3"/>
      <sheetName val="MAR_20073"/>
      <sheetName val="APR_20073"/>
      <sheetName val="MAY_20073"/>
      <sheetName val="APR_2007-GTW3"/>
      <sheetName val="MAY_2007_(2)3"/>
      <sheetName val="MAY_2007-NUCH3"/>
      <sheetName val="JUN_2007-NUCH_3"/>
      <sheetName val="JULY_2007-NUCH3"/>
      <sheetName val="AUG_2007-NUCH_3"/>
      <sheetName val="AUG_20073"/>
      <sheetName val="ค่าเช่า_ด_93"/>
      <sheetName val="ค่าเช่า_ด_103"/>
      <sheetName val="Status_update31_8_073"/>
      <sheetName val="Status_update31_8_07_(2)3"/>
      <sheetName val="ค่าเช่า_ด_113"/>
      <sheetName val="ค่าเช่า_ด_11_(2)3"/>
      <sheetName val="Sheet1_(2)3"/>
      <sheetName val="Bill_No__2_-_Carpark3"/>
      <sheetName val="Table_Name3"/>
      <sheetName val="COUNT_wh_(2)3"/>
      <sheetName val="NTET2004_(DEC)3"/>
      <sheetName val="NEG2004_(DEC)3"/>
      <sheetName val="NEG2004_(DEC)_(2)3"/>
      <sheetName val="Min_-Max__Stock3"/>
      <sheetName val="Tax_coupon3"/>
      <sheetName val="stat_local3"/>
      <sheetName val="ตารางคำนวณกระเบื้อง_A3"/>
      <sheetName val="Law_data3"/>
      <sheetName val="Volume_Loco_May_20153"/>
      <sheetName val="Summary_report3"/>
      <sheetName val="Performance_BP3"/>
      <sheetName val="4_1CAPEX_Additional3"/>
      <sheetName val="PULP_MILL3"/>
      <sheetName val="Vender_list3"/>
      <sheetName val="SCG_group3"/>
      <sheetName val="Production_Queue_GB3"/>
      <sheetName val="Cost_center3"/>
      <sheetName val="Account_code3"/>
      <sheetName val="Comapny_Name3"/>
      <sheetName val="Company_Name3"/>
      <sheetName val="Type_ถูก_House3"/>
      <sheetName val="Cases_Actuals_SAP3"/>
      <sheetName val="Chilled_Vol_&amp;_GS3"/>
      <sheetName val="Master_Query_SL3"/>
      <sheetName val="PBSG_Severance3"/>
      <sheetName val="data_validation3"/>
      <sheetName val="Detail_(2)3"/>
      <sheetName val="DEATAIL_KENTOCOST_Sheet_Low20M3"/>
      <sheetName val="Cover_(2)3"/>
      <sheetName val="Detail_3"/>
      <sheetName val="SCOPE_OF_WORK3"/>
      <sheetName val="Unit_price3"/>
      <sheetName val="received_net-BG3"/>
      <sheetName val="Summary_BG_Code3"/>
      <sheetName val="สาเหตุ_Error_3"/>
      <sheetName val="SCG_Chemicals_group3"/>
      <sheetName val="Dont_delete!!3"/>
      <sheetName val="cost_center_name3"/>
      <sheetName val="ee_unit_type2"/>
      <sheetName val="ee_build_2"/>
      <sheetName val="ดอกเบี้ย_TR25603"/>
      <sheetName val="Cost_history_sheet2"/>
      <sheetName val="Scope_of_work_2"/>
      <sheetName val="Detail_(CMM)2"/>
      <sheetName val="SUM_KENTO_COST_LOW_20MB_2"/>
      <sheetName val="SUM_KENTO_COST_REPORT_20MB_UP2"/>
      <sheetName val="DETAIL_KENTOCOST_Sheet_20MB_UP2"/>
      <sheetName val="S3_Architectural2"/>
      <sheetName val="S-CUVE-2_14_M1"/>
      <sheetName val="Log_CCR_TG_33"/>
      <sheetName val="TB(PY_2016)3"/>
      <sheetName val="Risk_Level3"/>
      <sheetName val="Risk_Category3"/>
      <sheetName val="DD_List3"/>
      <sheetName val="CF_weekly3"/>
      <sheetName val="1_CF_(M)(Ratchatewee)3"/>
      <sheetName val="1_CF_(M)(Rama4)3"/>
      <sheetName val="1_CF_(M)_(TL10ph2)3"/>
      <sheetName val="Master_TB3"/>
      <sheetName val="Forecast_movement3"/>
      <sheetName val="O_PL_Link3"/>
      <sheetName val="i_actmth_from_SAP3"/>
      <sheetName val="i_Actual_by_cc3"/>
      <sheetName val="Fixed_Selling3"/>
      <sheetName val="BIS_Selling3"/>
      <sheetName val="Total_GA3"/>
      <sheetName val="CA_only3"/>
      <sheetName val="Legal_only3"/>
      <sheetName val="sub_cost_center3"/>
      <sheetName val="OH_CC_DBS3"/>
      <sheetName val="BIS_G&amp;A3"/>
      <sheetName val="2015_reconcile_&amp;_restate3"/>
      <sheetName val="BIS_Common_detail3"/>
      <sheetName val="Total_GA+BIS_common3"/>
      <sheetName val="HFM_Line3"/>
      <sheetName val="HFM_Mapping3"/>
      <sheetName val="T&amp;E_sales_cut3"/>
      <sheetName val="Control_-_Consulting_fee_SN_(23"/>
      <sheetName val="V7_Confirm_RPT3"/>
      <sheetName val="Multi_Rater3"/>
      <sheetName val="Trial_Balance3"/>
      <sheetName val="Master_COA_V212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Wkgs_BS_Lead1"/>
      <sheetName val="Discounted_Cash_Flow1"/>
      <sheetName val="6_ข้อมูลวัสดุ-ค่าดำเนิน1"/>
      <sheetName val="Sec_1_1_Site_clearanceworks1"/>
      <sheetName val="VE_LIST1"/>
      <sheetName val="Sec_01"/>
      <sheetName val="Sec_11"/>
      <sheetName val="Arch_unit_rate1"/>
      <sheetName val="ID_unit_rate1"/>
      <sheetName val="Sec_2_1"/>
      <sheetName val="sec_3_11"/>
      <sheetName val="sec_3_21"/>
      <sheetName val="sec_3_31"/>
      <sheetName val="sec_3_41"/>
      <sheetName val="Sec_41"/>
      <sheetName val="Sec_51"/>
      <sheetName val="Sec__61"/>
      <sheetName val="Sec_71"/>
      <sheetName val="KKC_Brkdwn1"/>
      <sheetName val="SPT_vs_PHI1"/>
      <sheetName val="Proposal_Form1"/>
      <sheetName val="BQ-Ext__1"/>
      <sheetName val="Sch_21"/>
      <sheetName val="Dropdown_list_3"/>
      <sheetName val="data_บัญชี1"/>
      <sheetName val="Data_(2)1"/>
      <sheetName val="interest_income_from_VMI1"/>
      <sheetName val="interest_payable_to_PSH1"/>
      <sheetName val="Summary_31Mar'202"/>
      <sheetName val="ESS_Performance_2020+20212"/>
      <sheetName val="S330_Increase_salary_rate1"/>
      <sheetName val="Reference(do_not_delete)2"/>
      <sheetName val="masterEO_IO1"/>
      <sheetName val="Employee_EN1"/>
      <sheetName val="ZA110_Sale1"/>
      <sheetName val="Factor_F_Data"/>
      <sheetName val="PROJECT_BRIEF"/>
      <sheetName val="Data_(Forecast-m3)"/>
      <sheetName val="TDC_COA_Sumry"/>
      <sheetName val="COA_Sumry_by_Area"/>
      <sheetName val="COA_Sumry_by_Contr"/>
      <sheetName val="COA_Sumry_by_RG"/>
      <sheetName val="TDC_COA_Grp_Sumry"/>
      <sheetName val="TDC_Item_Dets-Full"/>
      <sheetName val="TDC_Item_Dets-IPM-Full"/>
      <sheetName val="TDC_Item_Dets"/>
      <sheetName val="TDC_Item_Sumry"/>
      <sheetName val="TDC_Key_Qty_Sumry"/>
      <sheetName val="List_-_Components"/>
      <sheetName val="List_-_Equipment"/>
      <sheetName val="Project_Metrics"/>
      <sheetName val="COA_Sumry_-_Std_Imp"/>
      <sheetName val="Contr_TDC_-_Std_Imp"/>
      <sheetName val="Item_Sumry_-_Std_Imp"/>
      <sheetName val="Proj_TIC_-_Std_Imp"/>
      <sheetName val="Unit_Costs_-_Std_Imp"/>
      <sheetName val="Unit_MH_-_Std_Imp"/>
      <sheetName val="FlatBottomClarifier_(Not_used)"/>
      <sheetName val="Designated_P&amp;L"/>
      <sheetName val="Final_Summary_-_Base"/>
      <sheetName val="Utility_and_Fire_flange"/>
      <sheetName val="Mapping_account"/>
      <sheetName val="Drop_Down_Lists"/>
      <sheetName val="List_of_Rem_Entries_-_IS"/>
      <sheetName val="DATA_(ชื่อสินค้า)1"/>
      <sheetName val="กระจาย_-NPDองุ่นเคียวโฮ1"/>
      <sheetName val="Activity_Q11"/>
      <sheetName val="Strategic_Cus"/>
      <sheetName val="Rev_per_Head(2019)"/>
      <sheetName val="WH_Utilization"/>
      <sheetName val="Stock_Graph"/>
      <sheetName val="No__Customer_(2019)"/>
      <sheetName val="No__Customer"/>
      <sheetName val="Customer_Name"/>
      <sheetName val="_ANALYSIS_FP"/>
      <sheetName val="TB_1-3"/>
      <sheetName val="โซนโฟกัส_TT1"/>
      <sheetName val="ข้อมูลทำ_DropDown1"/>
      <sheetName val="แผนใหม่-BG22_รายเอเย่นต์1"/>
      <sheetName val="In_AG_VS_Sub1"/>
      <sheetName val="Calendar_นายสรศักดิ์_กล่ำศรี1"/>
      <sheetName val="สรุปโซนโฟกัส_TT1"/>
      <sheetName val="B1_01-Times"/>
      <sheetName val="Assa_VO_(2)"/>
      <sheetName val="B1_02_02(IDP-2)_"/>
      <sheetName val="Kamol_VO"/>
      <sheetName val="B2_17_Skyline"/>
      <sheetName val="19th_-MOS"/>
      <sheetName val="A6_2_VO-PLE"/>
      <sheetName val="KA_-MOS"/>
      <sheetName val="Kitchen_VO"/>
      <sheetName val="Pinklao_MOS"/>
      <sheetName val="B2_07_Kitchen"/>
      <sheetName val="B2_03_Assa"/>
      <sheetName val="B1_01_03(VC)"/>
      <sheetName val="A4_ARCH(FSR)"/>
      <sheetName val="A7_EXT(FSR)"/>
      <sheetName val="1-BCEG_"/>
      <sheetName val="sUM_-FFE"/>
      <sheetName val="B1_01_1Times"/>
      <sheetName val="Production_info"/>
      <sheetName val="ตารางส่วนลด_EE_"/>
      <sheetName val="A5_2_VO-KAMA"/>
      <sheetName val="A6_2VO-PLE"/>
      <sheetName val="A_VO-MEP_(BCEG)"/>
      <sheetName val="A5_1_Kama"/>
      <sheetName val="B1_01_09_2-Deco_Mart"/>
      <sheetName val="B1_01_10_1THC"/>
      <sheetName val="B1_02_01(IDP-1)"/>
      <sheetName val="ประมาณการประตูหน้าต่าง_"/>
      <sheetName val="SCHEDULE_10_BUILD_MANAGEMENT"/>
      <sheetName val="Status_Budget"/>
      <sheetName val="Analytic_Sales&amp;Cost"/>
      <sheetName val="Vendors_Database"/>
      <sheetName val="มีค_641"/>
      <sheetName val="bill_2"/>
      <sheetName val="cover_page"/>
      <sheetName val="Material_Price_List"/>
      <sheetName val="EST-FOOTING_(G)"/>
      <sheetName val="report_detial"/>
      <sheetName val="Appendix#3_PBC_-_ICIS_(ECH)"/>
      <sheetName val="Conso_จัดลำดับลุกหนี้"/>
      <sheetName val="B1_02_2(IDP-2)_(BCEG)"/>
      <sheetName val="B1_02_3(IDP-3)-DSG_(BCEG)"/>
      <sheetName val="Take-off_stru"/>
      <sheetName val="QUANTITY_COMPARISON"/>
      <sheetName val="B2_01_1_Mitsu(VO)"/>
      <sheetName val="Cer-_Sub"/>
      <sheetName val="B2_17_Skyline-BMU(Cert)"/>
      <sheetName val="B2_07_SMV(Progress)"/>
      <sheetName val="B2_09_Wayfit(Progress)"/>
      <sheetName val="B2_13_19th(MOS)"/>
      <sheetName val="B2_16_Linen_Chute-Reenigue"/>
      <sheetName val="B2_03_Assa(Cert)_"/>
      <sheetName val="B2_02_Opeable_Wall-Hafele(Cert)"/>
      <sheetName val="Conclusion_IPC_51"/>
      <sheetName val="A6_ATT(SPY-C)_(VO)"/>
      <sheetName val="Keen_(Re-PS)"/>
      <sheetName val="Main_Sum_(Hotel_&amp;_Residences)"/>
      <sheetName val="Listes_Caractéristiques"/>
      <sheetName val="Liste_Référentiel"/>
      <sheetName val="BOX_Cryostat_Details"/>
      <sheetName val="Driver_Linac_Layout"/>
      <sheetName val="Magnet_Details"/>
      <sheetName val="Blk_A"/>
      <sheetName val="Out_Flow"/>
      <sheetName val="Sum_Direct"/>
      <sheetName val="App_A"/>
      <sheetName val="TB 10"/>
      <sheetName val="Page4"/>
      <sheetName val="drop"/>
      <sheetName val="co 10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fuel"/>
      <sheetName val="&lt;&lt;รายละเอียดร้าน"/>
      <sheetName val="Recap_ราย พนง."/>
      <sheetName val="S0"/>
      <sheetName val="审批表 Rev"/>
      <sheetName val="Letter"/>
      <sheetName val="bp bill"/>
      <sheetName val="calc_menu_déroulant"/>
      <sheetName val="งานโครงสร้าง"/>
      <sheetName val="corbeldatail"/>
      <sheetName val="Road"/>
      <sheetName val="cov-estimate"/>
      <sheetName val="3.1 Piling"/>
      <sheetName val="splinkler"/>
      <sheetName val="STMspry"/>
      <sheetName val="PsychroData"/>
      <sheetName val="SH-C"/>
      <sheetName val="SH-F"/>
      <sheetName val="SH-A"/>
      <sheetName val="CASH"/>
      <sheetName val="opstat"/>
      <sheetName val="costs"/>
      <sheetName val="Sap_Actual"/>
      <sheetName val="รวม"/>
      <sheetName val="Cost Assumption"/>
      <sheetName val="UPG BEAM"/>
      <sheetName val="UPGB"/>
      <sheetName val="No.1"/>
      <sheetName val="PS-1995"/>
      <sheetName val="BU"/>
      <sheetName val="Sheet8"/>
      <sheetName val="2002"/>
      <sheetName val="OPbyMonth"/>
      <sheetName val="PL_FORECAST"/>
      <sheetName val="JL4"/>
      <sheetName val="Std Lo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BC3" t="str">
            <v>QUOTATION  NO.   :</v>
          </cell>
        </row>
      </sheetData>
      <sheetData sheetId="10">
        <row r="3">
          <cell r="BC3" t="str">
            <v>QUOTATION  NO.   :</v>
          </cell>
        </row>
      </sheetData>
      <sheetData sheetId="11">
        <row r="3">
          <cell r="BC3" t="str">
            <v>QUOTATION  NO.   :</v>
          </cell>
        </row>
      </sheetData>
      <sheetData sheetId="12">
        <row r="3">
          <cell r="BC3" t="str">
            <v>QUOTATION  NO.   :</v>
          </cell>
        </row>
      </sheetData>
      <sheetData sheetId="13">
        <row r="3">
          <cell r="BC3" t="str">
            <v>QUOTATION  NO.   :</v>
          </cell>
        </row>
      </sheetData>
      <sheetData sheetId="14">
        <row r="3">
          <cell r="BC3" t="str">
            <v>QUOTATION  NO.   :</v>
          </cell>
        </row>
      </sheetData>
      <sheetData sheetId="15">
        <row r="3">
          <cell r="BC3" t="str">
            <v>QUOTATION  NO.   :</v>
          </cell>
        </row>
      </sheetData>
      <sheetData sheetId="16">
        <row r="3">
          <cell r="BC3" t="str">
            <v>QUOTATION  NO.   :</v>
          </cell>
        </row>
      </sheetData>
      <sheetData sheetId="17">
        <row r="3">
          <cell r="BC3" t="str">
            <v>QUOTATION  NO.   :</v>
          </cell>
        </row>
      </sheetData>
      <sheetData sheetId="18">
        <row r="3">
          <cell r="BC3" t="str">
            <v>QUOTATION  NO.   :</v>
          </cell>
        </row>
      </sheetData>
      <sheetData sheetId="19">
        <row r="3">
          <cell r="BC3" t="str">
            <v>QUOTATION  NO.   :</v>
          </cell>
        </row>
      </sheetData>
      <sheetData sheetId="20">
        <row r="3">
          <cell r="BC3" t="str">
            <v>QUOTATION  NO.   :</v>
          </cell>
        </row>
      </sheetData>
      <sheetData sheetId="21">
        <row r="3">
          <cell r="BC3" t="str">
            <v>QUOTATION  NO.   :</v>
          </cell>
        </row>
      </sheetData>
      <sheetData sheetId="22">
        <row r="3">
          <cell r="BC3" t="str">
            <v>QUOTATION  NO.   :</v>
          </cell>
        </row>
      </sheetData>
      <sheetData sheetId="23">
        <row r="3">
          <cell r="BC3" t="str">
            <v>QUOTATION  NO.   :</v>
          </cell>
        </row>
      </sheetData>
      <sheetData sheetId="24">
        <row r="3">
          <cell r="BC3" t="str">
            <v>QUOTATION  NO.   :</v>
          </cell>
        </row>
      </sheetData>
      <sheetData sheetId="25">
        <row r="3">
          <cell r="BC3" t="str">
            <v>QUOTATION  NO.   :</v>
          </cell>
        </row>
      </sheetData>
      <sheetData sheetId="26">
        <row r="3">
          <cell r="BC3" t="str">
            <v>QUOTATION  NO.   :</v>
          </cell>
        </row>
      </sheetData>
      <sheetData sheetId="27">
        <row r="3">
          <cell r="BC3" t="str">
            <v>QUOTATION  NO.   :</v>
          </cell>
        </row>
      </sheetData>
      <sheetData sheetId="28">
        <row r="3">
          <cell r="BC3" t="str">
            <v>QUOTATION  NO.   :</v>
          </cell>
        </row>
      </sheetData>
      <sheetData sheetId="29">
        <row r="3">
          <cell r="BC3" t="str">
            <v>QUOTATION  NO.   :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7">
          <cell r="G7" t="str">
            <v>R-32 SUPPLY / RETURN PIPING WORK (GHARGER No.1)</v>
          </cell>
        </row>
      </sheetData>
      <sheetData sheetId="45" refreshError="1"/>
      <sheetData sheetId="46" refreshError="1"/>
      <sheetData sheetId="47">
        <row r="3">
          <cell r="BC3" t="str">
            <v>QUOTATION  NO.   :</v>
          </cell>
        </row>
      </sheetData>
      <sheetData sheetId="48">
        <row r="3">
          <cell r="BC3" t="str">
            <v>QUOTATION  NO.   :</v>
          </cell>
        </row>
      </sheetData>
      <sheetData sheetId="49">
        <row r="7">
          <cell r="G7" t="str">
            <v>R-32 SUPPLY / RETURN PIPING WORK (GHARGER No.1)</v>
          </cell>
        </row>
      </sheetData>
      <sheetData sheetId="50">
        <row r="7">
          <cell r="G7" t="str">
            <v>R-32 SUPPLY / RETURN PIPING WORK (GHARGER No.1)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3">
          <cell r="BC3" t="str">
            <v>QUOTATION  NO.   :</v>
          </cell>
        </row>
      </sheetData>
      <sheetData sheetId="176">
        <row r="3">
          <cell r="BC3" t="str">
            <v>QUOTATION  NO.   :</v>
          </cell>
        </row>
      </sheetData>
      <sheetData sheetId="177">
        <row r="3">
          <cell r="BC3" t="str">
            <v>QUOTATION  NO.   :</v>
          </cell>
        </row>
      </sheetData>
      <sheetData sheetId="178">
        <row r="3">
          <cell r="BC3" t="str">
            <v>QUOTATION  NO.   :</v>
          </cell>
        </row>
      </sheetData>
      <sheetData sheetId="179">
        <row r="3">
          <cell r="BC3" t="str">
            <v>QUOTATION  NO.   :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>
        <row r="3">
          <cell r="BC3" t="str">
            <v>QUOTATION  NO.   :</v>
          </cell>
        </row>
      </sheetData>
      <sheetData sheetId="210"/>
      <sheetData sheetId="211" refreshError="1"/>
      <sheetData sheetId="212" refreshError="1"/>
      <sheetData sheetId="213" refreshError="1"/>
      <sheetData sheetId="214">
        <row r="3">
          <cell r="BC3" t="str">
            <v>QUOTATION  NO.   :</v>
          </cell>
        </row>
      </sheetData>
      <sheetData sheetId="215">
        <row r="3">
          <cell r="BC3" t="str">
            <v>QUOTATION  NO.   :</v>
          </cell>
        </row>
      </sheetData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>
        <row r="3">
          <cell r="BC3" t="str">
            <v>QUOTATION  NO.   :</v>
          </cell>
        </row>
      </sheetData>
      <sheetData sheetId="316">
        <row r="3">
          <cell r="BC3" t="str">
            <v>QUOTATION  NO.   :</v>
          </cell>
        </row>
      </sheetData>
      <sheetData sheetId="317">
        <row r="3">
          <cell r="BC3" t="str">
            <v>QUOTATION  NO.   :</v>
          </cell>
        </row>
      </sheetData>
      <sheetData sheetId="318">
        <row r="3">
          <cell r="BC3" t="str">
            <v>QUOTATION  NO.   :</v>
          </cell>
        </row>
      </sheetData>
      <sheetData sheetId="319">
        <row r="3">
          <cell r="BC3" t="str">
            <v>QUOTATION  NO.   :</v>
          </cell>
        </row>
      </sheetData>
      <sheetData sheetId="320">
        <row r="3">
          <cell r="BC3" t="str">
            <v>QUOTATION  NO.   :</v>
          </cell>
        </row>
      </sheetData>
      <sheetData sheetId="321">
        <row r="3">
          <cell r="BC3" t="str">
            <v>QUOTATION  NO.   :</v>
          </cell>
        </row>
      </sheetData>
      <sheetData sheetId="322">
        <row r="3">
          <cell r="BC3" t="str">
            <v>QUOTATION  NO.   :</v>
          </cell>
        </row>
      </sheetData>
      <sheetData sheetId="323">
        <row r="3">
          <cell r="BC3" t="str">
            <v>QUOTATION  NO.   :</v>
          </cell>
        </row>
      </sheetData>
      <sheetData sheetId="324">
        <row r="3">
          <cell r="BC3" t="str">
            <v>QUOTATION  NO.   :</v>
          </cell>
        </row>
      </sheetData>
      <sheetData sheetId="325">
        <row r="3">
          <cell r="BC3" t="str">
            <v>QUOTATION  NO.   :</v>
          </cell>
        </row>
      </sheetData>
      <sheetData sheetId="326">
        <row r="3">
          <cell r="BC3" t="str">
            <v>QUOTATION  NO.   :</v>
          </cell>
        </row>
      </sheetData>
      <sheetData sheetId="327">
        <row r="3">
          <cell r="BC3" t="str">
            <v>QUOTATION  NO.   :</v>
          </cell>
        </row>
      </sheetData>
      <sheetData sheetId="328">
        <row r="3">
          <cell r="BC3" t="str">
            <v>QUOTATION  NO.   :</v>
          </cell>
        </row>
      </sheetData>
      <sheetData sheetId="329">
        <row r="3">
          <cell r="BC3" t="str">
            <v>QUOTATION  NO.   :</v>
          </cell>
        </row>
      </sheetData>
      <sheetData sheetId="330">
        <row r="3">
          <cell r="BC3" t="str">
            <v>QUOTATION  NO.   :</v>
          </cell>
        </row>
      </sheetData>
      <sheetData sheetId="331">
        <row r="3">
          <cell r="BC3" t="str">
            <v>QUOTATION  NO.   :</v>
          </cell>
        </row>
      </sheetData>
      <sheetData sheetId="332">
        <row r="3">
          <cell r="BC3" t="str">
            <v>QUOTATION  NO.   :</v>
          </cell>
        </row>
      </sheetData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>
        <row r="3">
          <cell r="BC3" t="str">
            <v>QUOTATION  NO.   :</v>
          </cell>
        </row>
      </sheetData>
      <sheetData sheetId="348">
        <row r="3">
          <cell r="BC3" t="str">
            <v>QUOTATION  NO.   :</v>
          </cell>
        </row>
      </sheetData>
      <sheetData sheetId="349">
        <row r="3">
          <cell r="BC3" t="str">
            <v>QUOTATION  NO.   :</v>
          </cell>
        </row>
      </sheetData>
      <sheetData sheetId="350">
        <row r="3">
          <cell r="BC3" t="str">
            <v>QUOTATION  NO.   :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3">
          <cell r="BC3" t="str">
            <v>QUOTATION  NO.   :</v>
          </cell>
        </row>
      </sheetData>
      <sheetData sheetId="369">
        <row r="3">
          <cell r="BC3" t="str">
            <v>QUOTATION  NO.   :</v>
          </cell>
        </row>
      </sheetData>
      <sheetData sheetId="370">
        <row r="3">
          <cell r="BC3" t="str">
            <v>QUOTATION  NO.   :</v>
          </cell>
        </row>
      </sheetData>
      <sheetData sheetId="371">
        <row r="3">
          <cell r="BC3" t="str">
            <v>QUOTATION  NO.   :</v>
          </cell>
        </row>
      </sheetData>
      <sheetData sheetId="372">
        <row r="3">
          <cell r="BC3" t="str">
            <v>QUOTATION  NO.   :</v>
          </cell>
        </row>
      </sheetData>
      <sheetData sheetId="373">
        <row r="3">
          <cell r="BC3" t="str">
            <v>QUOTATION  NO.   :</v>
          </cell>
        </row>
      </sheetData>
      <sheetData sheetId="374">
        <row r="3">
          <cell r="BC3" t="str">
            <v>QUOTATION  NO.   :</v>
          </cell>
        </row>
      </sheetData>
      <sheetData sheetId="375">
        <row r="3">
          <cell r="BC3" t="str">
            <v>QUOTATION  NO.   :</v>
          </cell>
        </row>
      </sheetData>
      <sheetData sheetId="376">
        <row r="3">
          <cell r="BC3" t="str">
            <v>QUOTATION  NO.   :</v>
          </cell>
        </row>
      </sheetData>
      <sheetData sheetId="377">
        <row r="3">
          <cell r="BC3" t="str">
            <v>QUOTATION  NO.   :</v>
          </cell>
        </row>
      </sheetData>
      <sheetData sheetId="378">
        <row r="3">
          <cell r="BC3" t="str">
            <v>QUOTATION  NO.   :</v>
          </cell>
        </row>
      </sheetData>
      <sheetData sheetId="379">
        <row r="3">
          <cell r="BC3" t="str">
            <v>QUOTATION  NO.   :</v>
          </cell>
        </row>
      </sheetData>
      <sheetData sheetId="380">
        <row r="3">
          <cell r="BC3" t="str">
            <v>QUOTATION  NO.   :</v>
          </cell>
        </row>
      </sheetData>
      <sheetData sheetId="381">
        <row r="3">
          <cell r="BC3" t="str">
            <v>QUOTATION  NO.   :</v>
          </cell>
        </row>
      </sheetData>
      <sheetData sheetId="382">
        <row r="3">
          <cell r="BC3" t="str">
            <v>QUOTATION  NO.   :</v>
          </cell>
        </row>
      </sheetData>
      <sheetData sheetId="383">
        <row r="3">
          <cell r="BC3" t="str">
            <v>QUOTATION  NO.   :</v>
          </cell>
        </row>
      </sheetData>
      <sheetData sheetId="384">
        <row r="3">
          <cell r="BC3" t="str">
            <v>QUOTATION  NO.   :</v>
          </cell>
        </row>
      </sheetData>
      <sheetData sheetId="385">
        <row r="3">
          <cell r="BC3" t="str">
            <v>QUOTATION  NO.   :</v>
          </cell>
        </row>
      </sheetData>
      <sheetData sheetId="386">
        <row r="3">
          <cell r="BC3" t="str">
            <v>QUOTATION  NO.   :</v>
          </cell>
        </row>
      </sheetData>
      <sheetData sheetId="387">
        <row r="3">
          <cell r="BC3" t="str">
            <v>QUOTATION  NO.   :</v>
          </cell>
        </row>
      </sheetData>
      <sheetData sheetId="388">
        <row r="3">
          <cell r="BC3" t="str">
            <v>QUOTATION  NO.   :</v>
          </cell>
        </row>
      </sheetData>
      <sheetData sheetId="389">
        <row r="3">
          <cell r="BC3" t="str">
            <v>QUOTATION  NO.   :</v>
          </cell>
        </row>
      </sheetData>
      <sheetData sheetId="390">
        <row r="3">
          <cell r="BC3" t="str">
            <v>QUOTATION  NO.   :</v>
          </cell>
        </row>
      </sheetData>
      <sheetData sheetId="391">
        <row r="3">
          <cell r="BC3" t="str">
            <v>QUOTATION  NO.   :</v>
          </cell>
        </row>
      </sheetData>
      <sheetData sheetId="392">
        <row r="3">
          <cell r="BC3" t="str">
            <v>QUOTATION  NO.   :</v>
          </cell>
        </row>
      </sheetData>
      <sheetData sheetId="393">
        <row r="3">
          <cell r="BC3" t="str">
            <v>QUOTATION  NO.   :</v>
          </cell>
        </row>
      </sheetData>
      <sheetData sheetId="394">
        <row r="3">
          <cell r="BC3" t="str">
            <v>QUOTATION  NO.   :</v>
          </cell>
        </row>
      </sheetData>
      <sheetData sheetId="395">
        <row r="3">
          <cell r="BC3" t="str">
            <v>QUOTATION  NO.   :</v>
          </cell>
        </row>
      </sheetData>
      <sheetData sheetId="396">
        <row r="3">
          <cell r="BC3" t="str">
            <v>QUOTATION  NO.   :</v>
          </cell>
        </row>
      </sheetData>
      <sheetData sheetId="397">
        <row r="3">
          <cell r="BC3" t="str">
            <v>QUOTATION  NO.   :</v>
          </cell>
        </row>
      </sheetData>
      <sheetData sheetId="398">
        <row r="3">
          <cell r="BC3" t="str">
            <v>QUOTATION  NO.   :</v>
          </cell>
        </row>
      </sheetData>
      <sheetData sheetId="399">
        <row r="3">
          <cell r="BC3" t="str">
            <v>QUOTATION  NO.   :</v>
          </cell>
        </row>
      </sheetData>
      <sheetData sheetId="400">
        <row r="3">
          <cell r="BC3" t="str">
            <v>QUOTATION  NO.   :</v>
          </cell>
        </row>
      </sheetData>
      <sheetData sheetId="401">
        <row r="3">
          <cell r="BC3" t="str">
            <v>QUOTATION  NO.   :</v>
          </cell>
        </row>
      </sheetData>
      <sheetData sheetId="402">
        <row r="3">
          <cell r="BC3" t="str">
            <v>QUOTATION  NO.   :</v>
          </cell>
        </row>
      </sheetData>
      <sheetData sheetId="403">
        <row r="3">
          <cell r="BC3" t="str">
            <v>QUOTATION  NO.   :</v>
          </cell>
        </row>
      </sheetData>
      <sheetData sheetId="404">
        <row r="3">
          <cell r="BC3" t="str">
            <v>QUOTATION  NO.   :</v>
          </cell>
        </row>
      </sheetData>
      <sheetData sheetId="405">
        <row r="3">
          <cell r="BC3" t="str">
            <v>QUOTATION  NO.   :</v>
          </cell>
        </row>
      </sheetData>
      <sheetData sheetId="406">
        <row r="3">
          <cell r="BC3" t="str">
            <v>QUOTATION  NO.   :</v>
          </cell>
        </row>
      </sheetData>
      <sheetData sheetId="407">
        <row r="3">
          <cell r="BC3" t="str">
            <v>QUOTATION  NO.   :</v>
          </cell>
        </row>
      </sheetData>
      <sheetData sheetId="408">
        <row r="3">
          <cell r="BC3" t="str">
            <v>QUOTATION  NO.   :</v>
          </cell>
        </row>
      </sheetData>
      <sheetData sheetId="409">
        <row r="3">
          <cell r="BC3" t="str">
            <v>QUOTATION  NO.   :</v>
          </cell>
        </row>
      </sheetData>
      <sheetData sheetId="410">
        <row r="3">
          <cell r="BC3" t="str">
            <v>QUOTATION  NO.   :</v>
          </cell>
        </row>
      </sheetData>
      <sheetData sheetId="411">
        <row r="3">
          <cell r="BC3" t="str">
            <v>QUOTATION  NO.   :</v>
          </cell>
        </row>
      </sheetData>
      <sheetData sheetId="412">
        <row r="3">
          <cell r="BC3" t="str">
            <v>QUOTATION  NO.   :</v>
          </cell>
        </row>
      </sheetData>
      <sheetData sheetId="413">
        <row r="3">
          <cell r="BC3" t="str">
            <v>QUOTATION  NO.   :</v>
          </cell>
        </row>
      </sheetData>
      <sheetData sheetId="414">
        <row r="3">
          <cell r="BC3" t="str">
            <v>QUOTATION  NO.   :</v>
          </cell>
        </row>
      </sheetData>
      <sheetData sheetId="415">
        <row r="3">
          <cell r="BC3" t="str">
            <v>QUOTATION  NO.   :</v>
          </cell>
        </row>
      </sheetData>
      <sheetData sheetId="416">
        <row r="3">
          <cell r="BC3" t="str">
            <v>QUOTATION  NO.   :</v>
          </cell>
        </row>
      </sheetData>
      <sheetData sheetId="417">
        <row r="3">
          <cell r="BC3" t="str">
            <v>QUOTATION  NO.   :</v>
          </cell>
        </row>
      </sheetData>
      <sheetData sheetId="418">
        <row r="3">
          <cell r="BC3" t="str">
            <v>QUOTATION  NO.   :</v>
          </cell>
        </row>
      </sheetData>
      <sheetData sheetId="419">
        <row r="3">
          <cell r="BC3" t="str">
            <v>QUOTATION  NO.   :</v>
          </cell>
        </row>
      </sheetData>
      <sheetData sheetId="420">
        <row r="3">
          <cell r="BC3" t="str">
            <v>QUOTATION  NO.   :</v>
          </cell>
        </row>
      </sheetData>
      <sheetData sheetId="421">
        <row r="3">
          <cell r="BC3" t="str">
            <v>QUOTATION  NO.   :</v>
          </cell>
        </row>
      </sheetData>
      <sheetData sheetId="422">
        <row r="3">
          <cell r="BC3" t="str">
            <v>QUOTATION  NO.   :</v>
          </cell>
        </row>
      </sheetData>
      <sheetData sheetId="423">
        <row r="3">
          <cell r="BC3" t="str">
            <v>QUOTATION  NO.   :</v>
          </cell>
        </row>
      </sheetData>
      <sheetData sheetId="424">
        <row r="3">
          <cell r="BC3" t="str">
            <v>QUOTATION  NO.   :</v>
          </cell>
        </row>
      </sheetData>
      <sheetData sheetId="425">
        <row r="3">
          <cell r="BC3" t="str">
            <v>QUOTATION  NO.   :</v>
          </cell>
        </row>
      </sheetData>
      <sheetData sheetId="426">
        <row r="3">
          <cell r="BC3" t="str">
            <v>QUOTATION  NO.   :</v>
          </cell>
        </row>
      </sheetData>
      <sheetData sheetId="427">
        <row r="3">
          <cell r="BC3" t="str">
            <v>QUOTATION  NO.   :</v>
          </cell>
        </row>
      </sheetData>
      <sheetData sheetId="428">
        <row r="3">
          <cell r="BC3" t="str">
            <v>QUOTATION  NO.   :</v>
          </cell>
        </row>
      </sheetData>
      <sheetData sheetId="429">
        <row r="3">
          <cell r="BC3" t="str">
            <v>QUOTATION  NO.   :</v>
          </cell>
        </row>
      </sheetData>
      <sheetData sheetId="430">
        <row r="3">
          <cell r="BC3" t="str">
            <v>QUOTATION  NO.   :</v>
          </cell>
        </row>
      </sheetData>
      <sheetData sheetId="431">
        <row r="3">
          <cell r="BC3" t="str">
            <v>QUOTATION  NO.   :</v>
          </cell>
        </row>
      </sheetData>
      <sheetData sheetId="432">
        <row r="3">
          <cell r="BC3" t="str">
            <v>QUOTATION  NO.   :</v>
          </cell>
        </row>
      </sheetData>
      <sheetData sheetId="433">
        <row r="3">
          <cell r="BC3" t="str">
            <v>QUOTATION  NO.   :</v>
          </cell>
        </row>
      </sheetData>
      <sheetData sheetId="434">
        <row r="3">
          <cell r="BC3" t="str">
            <v>QUOTATION  NO.   :</v>
          </cell>
        </row>
      </sheetData>
      <sheetData sheetId="435">
        <row r="3">
          <cell r="BC3" t="str">
            <v>QUOTATION  NO.   :</v>
          </cell>
        </row>
      </sheetData>
      <sheetData sheetId="436">
        <row r="3">
          <cell r="BC3" t="str">
            <v>QUOTATION  NO.   :</v>
          </cell>
        </row>
      </sheetData>
      <sheetData sheetId="437">
        <row r="3">
          <cell r="BC3" t="str">
            <v>QUOTATION  NO.   :</v>
          </cell>
        </row>
      </sheetData>
      <sheetData sheetId="438">
        <row r="3">
          <cell r="BC3" t="str">
            <v>QUOTATION  NO.   :</v>
          </cell>
        </row>
      </sheetData>
      <sheetData sheetId="439">
        <row r="3">
          <cell r="BC3" t="str">
            <v>QUOTATION  NO.   :</v>
          </cell>
        </row>
      </sheetData>
      <sheetData sheetId="440">
        <row r="3">
          <cell r="BC3" t="str">
            <v>QUOTATION  NO.   :</v>
          </cell>
        </row>
      </sheetData>
      <sheetData sheetId="441">
        <row r="3">
          <cell r="BC3" t="str">
            <v>QUOTATION  NO.   :</v>
          </cell>
        </row>
      </sheetData>
      <sheetData sheetId="442">
        <row r="3">
          <cell r="BC3" t="str">
            <v>QUOTATION  NO.   :</v>
          </cell>
        </row>
      </sheetData>
      <sheetData sheetId="443">
        <row r="3">
          <cell r="BC3" t="str">
            <v>QUOTATION  NO.   :</v>
          </cell>
        </row>
      </sheetData>
      <sheetData sheetId="444">
        <row r="3">
          <cell r="BC3" t="str">
            <v>QUOTATION  NO.   :</v>
          </cell>
        </row>
      </sheetData>
      <sheetData sheetId="445">
        <row r="3">
          <cell r="BC3" t="str">
            <v>QUOTATION  NO.   :</v>
          </cell>
        </row>
      </sheetData>
      <sheetData sheetId="446">
        <row r="3">
          <cell r="BC3" t="str">
            <v>QUOTATION  NO.   :</v>
          </cell>
        </row>
      </sheetData>
      <sheetData sheetId="447">
        <row r="3">
          <cell r="BC3" t="str">
            <v>QUOTATION  NO.   :</v>
          </cell>
        </row>
      </sheetData>
      <sheetData sheetId="448">
        <row r="3">
          <cell r="BC3" t="str">
            <v>QUOTATION  NO.   :</v>
          </cell>
        </row>
      </sheetData>
      <sheetData sheetId="449">
        <row r="3">
          <cell r="BC3" t="str">
            <v>QUOTATION  NO.   :</v>
          </cell>
        </row>
      </sheetData>
      <sheetData sheetId="450">
        <row r="3">
          <cell r="BC3" t="str">
            <v>QUOTATION  NO.   :</v>
          </cell>
        </row>
      </sheetData>
      <sheetData sheetId="451">
        <row r="3">
          <cell r="BC3" t="str">
            <v>QUOTATION  NO.   :</v>
          </cell>
        </row>
      </sheetData>
      <sheetData sheetId="452">
        <row r="3">
          <cell r="BC3" t="str">
            <v>QUOTATION  NO.   :</v>
          </cell>
        </row>
      </sheetData>
      <sheetData sheetId="453">
        <row r="3">
          <cell r="BC3" t="str">
            <v>QUOTATION  NO.   :</v>
          </cell>
        </row>
      </sheetData>
      <sheetData sheetId="454">
        <row r="3">
          <cell r="BC3" t="str">
            <v>QUOTATION  NO.   :</v>
          </cell>
        </row>
      </sheetData>
      <sheetData sheetId="455">
        <row r="3">
          <cell r="BC3" t="str">
            <v>QUOTATION  NO.   :</v>
          </cell>
        </row>
      </sheetData>
      <sheetData sheetId="456">
        <row r="3">
          <cell r="BC3" t="str">
            <v>QUOTATION  NO.   :</v>
          </cell>
        </row>
      </sheetData>
      <sheetData sheetId="457">
        <row r="3">
          <cell r="BC3" t="str">
            <v>QUOTATION  NO.   :</v>
          </cell>
        </row>
      </sheetData>
      <sheetData sheetId="458">
        <row r="3">
          <cell r="BC3" t="str">
            <v>QUOTATION  NO.   :</v>
          </cell>
        </row>
      </sheetData>
      <sheetData sheetId="459">
        <row r="3">
          <cell r="BC3" t="str">
            <v>QUOTATION  NO.   :</v>
          </cell>
        </row>
      </sheetData>
      <sheetData sheetId="460">
        <row r="3">
          <cell r="BC3" t="str">
            <v>QUOTATION  NO.   :</v>
          </cell>
        </row>
      </sheetData>
      <sheetData sheetId="461">
        <row r="3">
          <cell r="BC3" t="str">
            <v>QUOTATION  NO.   :</v>
          </cell>
        </row>
      </sheetData>
      <sheetData sheetId="462">
        <row r="3">
          <cell r="BC3" t="str">
            <v>QUOTATION  NO.   :</v>
          </cell>
        </row>
      </sheetData>
      <sheetData sheetId="463">
        <row r="3">
          <cell r="BC3" t="str">
            <v>QUOTATION  NO.   :</v>
          </cell>
        </row>
      </sheetData>
      <sheetData sheetId="464">
        <row r="3">
          <cell r="BC3" t="str">
            <v>QUOTATION  NO.   :</v>
          </cell>
        </row>
      </sheetData>
      <sheetData sheetId="465">
        <row r="3">
          <cell r="BC3" t="str">
            <v>QUOTATION  NO.   :</v>
          </cell>
        </row>
      </sheetData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>
        <row r="3">
          <cell r="BC3" t="str">
            <v>QUOTATION  NO.   :</v>
          </cell>
        </row>
      </sheetData>
      <sheetData sheetId="510">
        <row r="3">
          <cell r="BC3" t="str">
            <v>QUOTATION  NO.   :</v>
          </cell>
        </row>
      </sheetData>
      <sheetData sheetId="511">
        <row r="3">
          <cell r="BC3" t="str">
            <v>QUOTATION  NO.   :</v>
          </cell>
        </row>
      </sheetData>
      <sheetData sheetId="512">
        <row r="3">
          <cell r="BC3" t="str">
            <v>QUOTATION  NO.   :</v>
          </cell>
        </row>
      </sheetData>
      <sheetData sheetId="513">
        <row r="3">
          <cell r="BC3" t="str">
            <v>QUOTATION  NO.   :</v>
          </cell>
        </row>
      </sheetData>
      <sheetData sheetId="514">
        <row r="3">
          <cell r="BC3" t="str">
            <v>QUOTATION  NO.   :</v>
          </cell>
        </row>
      </sheetData>
      <sheetData sheetId="515">
        <row r="3">
          <cell r="BC3" t="str">
            <v>QUOTATION  NO.   :</v>
          </cell>
        </row>
      </sheetData>
      <sheetData sheetId="516">
        <row r="3">
          <cell r="BC3" t="str">
            <v>QUOTATION  NO.   :</v>
          </cell>
        </row>
      </sheetData>
      <sheetData sheetId="517">
        <row r="3">
          <cell r="BC3" t="str">
            <v>QUOTATION  NO.   :</v>
          </cell>
        </row>
      </sheetData>
      <sheetData sheetId="518">
        <row r="3">
          <cell r="BC3" t="str">
            <v>QUOTATION  NO.   :</v>
          </cell>
        </row>
      </sheetData>
      <sheetData sheetId="519">
        <row r="3">
          <cell r="BC3" t="str">
            <v>QUOTATION  NO.   :</v>
          </cell>
        </row>
      </sheetData>
      <sheetData sheetId="520">
        <row r="3">
          <cell r="BC3" t="str">
            <v>QUOTATION  NO.   :</v>
          </cell>
        </row>
      </sheetData>
      <sheetData sheetId="521">
        <row r="3">
          <cell r="BC3" t="str">
            <v>QUOTATION  NO.   :</v>
          </cell>
        </row>
      </sheetData>
      <sheetData sheetId="522">
        <row r="3">
          <cell r="BC3" t="str">
            <v>QUOTATION  NO.   :</v>
          </cell>
        </row>
      </sheetData>
      <sheetData sheetId="523">
        <row r="3">
          <cell r="BC3" t="str">
            <v>QUOTATION  NO.   :</v>
          </cell>
        </row>
      </sheetData>
      <sheetData sheetId="524">
        <row r="3">
          <cell r="BC3" t="str">
            <v>QUOTATION  NO.   :</v>
          </cell>
        </row>
      </sheetData>
      <sheetData sheetId="525">
        <row r="3">
          <cell r="BC3" t="str">
            <v>QUOTATION  NO.   :</v>
          </cell>
        </row>
      </sheetData>
      <sheetData sheetId="526">
        <row r="3">
          <cell r="BC3" t="str">
            <v>QUOTATION  NO.   :</v>
          </cell>
        </row>
      </sheetData>
      <sheetData sheetId="527">
        <row r="3">
          <cell r="BC3" t="str">
            <v>QUOTATION  NO.   :</v>
          </cell>
        </row>
      </sheetData>
      <sheetData sheetId="528">
        <row r="3">
          <cell r="BC3" t="str">
            <v>QUOTATION  NO.   :</v>
          </cell>
        </row>
      </sheetData>
      <sheetData sheetId="529">
        <row r="3">
          <cell r="BC3" t="str">
            <v>QUOTATION  NO.   :</v>
          </cell>
        </row>
      </sheetData>
      <sheetData sheetId="530">
        <row r="3">
          <cell r="BC3" t="str">
            <v>QUOTATION  NO.   :</v>
          </cell>
        </row>
      </sheetData>
      <sheetData sheetId="531">
        <row r="3">
          <cell r="BC3" t="str">
            <v>QUOTATION  NO.   :</v>
          </cell>
        </row>
      </sheetData>
      <sheetData sheetId="532">
        <row r="3">
          <cell r="BC3" t="str">
            <v>QUOTATION  NO.   :</v>
          </cell>
        </row>
      </sheetData>
      <sheetData sheetId="533">
        <row r="3">
          <cell r="BC3" t="str">
            <v>QUOTATION  NO.   :</v>
          </cell>
        </row>
      </sheetData>
      <sheetData sheetId="534">
        <row r="3">
          <cell r="BC3" t="str">
            <v>QUOTATION  NO.   :</v>
          </cell>
        </row>
      </sheetData>
      <sheetData sheetId="535">
        <row r="3">
          <cell r="BC3" t="str">
            <v>QUOTATION  NO.   :</v>
          </cell>
        </row>
      </sheetData>
      <sheetData sheetId="536">
        <row r="3">
          <cell r="BC3" t="str">
            <v>QUOTATION  NO.   :</v>
          </cell>
        </row>
      </sheetData>
      <sheetData sheetId="537">
        <row r="3">
          <cell r="BC3" t="str">
            <v>QUOTATION  NO.   :</v>
          </cell>
        </row>
      </sheetData>
      <sheetData sheetId="538">
        <row r="3">
          <cell r="BC3" t="str">
            <v>QUOTATION  NO.   :</v>
          </cell>
        </row>
      </sheetData>
      <sheetData sheetId="539">
        <row r="3">
          <cell r="BC3" t="str">
            <v>QUOTATION  NO.   :</v>
          </cell>
        </row>
      </sheetData>
      <sheetData sheetId="540">
        <row r="3">
          <cell r="BC3" t="str">
            <v>QUOTATION  NO.   :</v>
          </cell>
        </row>
      </sheetData>
      <sheetData sheetId="541">
        <row r="3">
          <cell r="BC3" t="str">
            <v>QUOTATION  NO.   :</v>
          </cell>
        </row>
      </sheetData>
      <sheetData sheetId="542">
        <row r="3">
          <cell r="BC3" t="str">
            <v>QUOTATION  NO.   :</v>
          </cell>
        </row>
      </sheetData>
      <sheetData sheetId="543">
        <row r="3">
          <cell r="BC3" t="str">
            <v>QUOTATION  NO.   :</v>
          </cell>
        </row>
      </sheetData>
      <sheetData sheetId="544">
        <row r="3">
          <cell r="BC3" t="str">
            <v>QUOTATION  NO.   :</v>
          </cell>
        </row>
      </sheetData>
      <sheetData sheetId="545">
        <row r="3">
          <cell r="BC3" t="str">
            <v>QUOTATION  NO.   :</v>
          </cell>
        </row>
      </sheetData>
      <sheetData sheetId="546">
        <row r="3">
          <cell r="BC3" t="str">
            <v>QUOTATION  NO.   :</v>
          </cell>
        </row>
      </sheetData>
      <sheetData sheetId="547">
        <row r="3">
          <cell r="BC3" t="str">
            <v>QUOTATION  NO.   :</v>
          </cell>
        </row>
      </sheetData>
      <sheetData sheetId="548">
        <row r="3">
          <cell r="BC3" t="str">
            <v>QUOTATION  NO.   :</v>
          </cell>
        </row>
      </sheetData>
      <sheetData sheetId="549">
        <row r="3">
          <cell r="BC3" t="str">
            <v>QUOTATION  NO.   :</v>
          </cell>
        </row>
      </sheetData>
      <sheetData sheetId="550">
        <row r="3">
          <cell r="BC3" t="str">
            <v>QUOTATION  NO.   :</v>
          </cell>
        </row>
      </sheetData>
      <sheetData sheetId="551">
        <row r="3">
          <cell r="BC3" t="str">
            <v>QUOTATION  NO.   :</v>
          </cell>
        </row>
      </sheetData>
      <sheetData sheetId="552">
        <row r="3">
          <cell r="BC3" t="str">
            <v>QUOTATION  NO.   :</v>
          </cell>
        </row>
      </sheetData>
      <sheetData sheetId="553">
        <row r="3">
          <cell r="BC3" t="str">
            <v>QUOTATION  NO.   :</v>
          </cell>
        </row>
      </sheetData>
      <sheetData sheetId="554">
        <row r="3">
          <cell r="BC3" t="str">
            <v>QUOTATION  NO.   :</v>
          </cell>
        </row>
      </sheetData>
      <sheetData sheetId="555">
        <row r="3">
          <cell r="BC3" t="str">
            <v>QUOTATION  NO.   :</v>
          </cell>
        </row>
      </sheetData>
      <sheetData sheetId="556">
        <row r="3">
          <cell r="BC3" t="str">
            <v>QUOTATION  NO.   :</v>
          </cell>
        </row>
      </sheetData>
      <sheetData sheetId="557">
        <row r="3">
          <cell r="BC3" t="str">
            <v>QUOTATION  NO.   :</v>
          </cell>
        </row>
      </sheetData>
      <sheetData sheetId="558">
        <row r="3">
          <cell r="BC3" t="str">
            <v>QUOTATION  NO.   :</v>
          </cell>
        </row>
      </sheetData>
      <sheetData sheetId="559">
        <row r="3">
          <cell r="BC3" t="str">
            <v>QUOTATION  NO.   :</v>
          </cell>
        </row>
      </sheetData>
      <sheetData sheetId="560">
        <row r="3">
          <cell r="BC3" t="str">
            <v>QUOTATION  NO.   :</v>
          </cell>
        </row>
      </sheetData>
      <sheetData sheetId="561">
        <row r="3">
          <cell r="BC3" t="str">
            <v>QUOTATION  NO.   :</v>
          </cell>
        </row>
      </sheetData>
      <sheetData sheetId="562">
        <row r="3">
          <cell r="BC3" t="str">
            <v>QUOTATION  NO.   :</v>
          </cell>
        </row>
      </sheetData>
      <sheetData sheetId="563">
        <row r="3">
          <cell r="BC3" t="str">
            <v>QUOTATION  NO.   :</v>
          </cell>
        </row>
      </sheetData>
      <sheetData sheetId="564">
        <row r="3">
          <cell r="BC3" t="str">
            <v>QUOTATION  NO.   :</v>
          </cell>
        </row>
      </sheetData>
      <sheetData sheetId="565">
        <row r="3">
          <cell r="BC3" t="str">
            <v>QUOTATION  NO.   :</v>
          </cell>
        </row>
      </sheetData>
      <sheetData sheetId="566">
        <row r="3">
          <cell r="BC3" t="str">
            <v>QUOTATION  NO.   :</v>
          </cell>
        </row>
      </sheetData>
      <sheetData sheetId="567">
        <row r="3">
          <cell r="BC3" t="str">
            <v>QUOTATION  NO.   :</v>
          </cell>
        </row>
      </sheetData>
      <sheetData sheetId="568">
        <row r="3">
          <cell r="BC3" t="str">
            <v>QUOTATION  NO.   :</v>
          </cell>
        </row>
      </sheetData>
      <sheetData sheetId="569">
        <row r="3">
          <cell r="BC3" t="str">
            <v>QUOTATION  NO.   :</v>
          </cell>
        </row>
      </sheetData>
      <sheetData sheetId="570">
        <row r="3">
          <cell r="BC3" t="str">
            <v>QUOTATION  NO.   :</v>
          </cell>
        </row>
      </sheetData>
      <sheetData sheetId="571">
        <row r="3">
          <cell r="BC3" t="str">
            <v>QUOTATION  NO.   :</v>
          </cell>
        </row>
      </sheetData>
      <sheetData sheetId="572">
        <row r="3">
          <cell r="BC3" t="str">
            <v>QUOTATION  NO.   :</v>
          </cell>
        </row>
      </sheetData>
      <sheetData sheetId="573">
        <row r="3">
          <cell r="BC3" t="str">
            <v>QUOTATION  NO.   :</v>
          </cell>
        </row>
      </sheetData>
      <sheetData sheetId="574">
        <row r="3">
          <cell r="BC3" t="str">
            <v>QUOTATION  NO.   :</v>
          </cell>
        </row>
      </sheetData>
      <sheetData sheetId="575">
        <row r="3">
          <cell r="BC3" t="str">
            <v>QUOTATION  NO.   :</v>
          </cell>
        </row>
      </sheetData>
      <sheetData sheetId="576">
        <row r="3">
          <cell r="BC3" t="str">
            <v>QUOTATION  NO.   :</v>
          </cell>
        </row>
      </sheetData>
      <sheetData sheetId="577">
        <row r="3">
          <cell r="BC3" t="str">
            <v>QUOTATION  NO.   :</v>
          </cell>
        </row>
      </sheetData>
      <sheetData sheetId="578">
        <row r="3">
          <cell r="BC3" t="str">
            <v>QUOTATION  NO.   :</v>
          </cell>
        </row>
      </sheetData>
      <sheetData sheetId="579">
        <row r="3">
          <cell r="BC3" t="str">
            <v>QUOTATION  NO.   :</v>
          </cell>
        </row>
      </sheetData>
      <sheetData sheetId="580">
        <row r="3">
          <cell r="BC3" t="str">
            <v>QUOTATION  NO.   :</v>
          </cell>
        </row>
      </sheetData>
      <sheetData sheetId="581">
        <row r="3">
          <cell r="BC3" t="str">
            <v>QUOTATION  NO.   :</v>
          </cell>
        </row>
      </sheetData>
      <sheetData sheetId="582">
        <row r="3">
          <cell r="BC3" t="str">
            <v>QUOTATION  NO.   :</v>
          </cell>
        </row>
      </sheetData>
      <sheetData sheetId="583">
        <row r="3">
          <cell r="BC3" t="str">
            <v>QUOTATION  NO.   :</v>
          </cell>
        </row>
      </sheetData>
      <sheetData sheetId="584">
        <row r="3">
          <cell r="BC3" t="str">
            <v>QUOTATION  NO.   :</v>
          </cell>
        </row>
      </sheetData>
      <sheetData sheetId="585">
        <row r="3">
          <cell r="BC3" t="str">
            <v>QUOTATION  NO.   :</v>
          </cell>
        </row>
      </sheetData>
      <sheetData sheetId="586">
        <row r="3">
          <cell r="BC3" t="str">
            <v>QUOTATION  NO.   :</v>
          </cell>
        </row>
      </sheetData>
      <sheetData sheetId="587">
        <row r="3">
          <cell r="BC3" t="str">
            <v>QUOTATION  NO.   :</v>
          </cell>
        </row>
      </sheetData>
      <sheetData sheetId="588">
        <row r="3">
          <cell r="BC3" t="str">
            <v>QUOTATION  NO.   :</v>
          </cell>
        </row>
      </sheetData>
      <sheetData sheetId="589">
        <row r="3">
          <cell r="BC3" t="str">
            <v>QUOTATION  NO.   :</v>
          </cell>
        </row>
      </sheetData>
      <sheetData sheetId="590">
        <row r="3">
          <cell r="BC3" t="str">
            <v>QUOTATION  NO.   :</v>
          </cell>
        </row>
      </sheetData>
      <sheetData sheetId="591">
        <row r="3">
          <cell r="BC3" t="str">
            <v>QUOTATION  NO.   :</v>
          </cell>
        </row>
      </sheetData>
      <sheetData sheetId="592">
        <row r="3">
          <cell r="BC3" t="str">
            <v>QUOTATION  NO.   :</v>
          </cell>
        </row>
      </sheetData>
      <sheetData sheetId="593">
        <row r="3">
          <cell r="BC3" t="str">
            <v>QUOTATION  NO.   :</v>
          </cell>
        </row>
      </sheetData>
      <sheetData sheetId="594">
        <row r="3">
          <cell r="BC3" t="str">
            <v>QUOTATION  NO.   :</v>
          </cell>
        </row>
      </sheetData>
      <sheetData sheetId="595">
        <row r="3">
          <cell r="BC3" t="str">
            <v>QUOTATION  NO.   :</v>
          </cell>
        </row>
      </sheetData>
      <sheetData sheetId="596">
        <row r="3">
          <cell r="BC3" t="str">
            <v>QUOTATION  NO.   :</v>
          </cell>
        </row>
      </sheetData>
      <sheetData sheetId="597">
        <row r="3">
          <cell r="BC3" t="str">
            <v>QUOTATION  NO.   :</v>
          </cell>
        </row>
      </sheetData>
      <sheetData sheetId="598">
        <row r="3">
          <cell r="BC3" t="str">
            <v>QUOTATION  NO.   :</v>
          </cell>
        </row>
      </sheetData>
      <sheetData sheetId="599">
        <row r="3">
          <cell r="BC3" t="str">
            <v>QUOTATION  NO.   :</v>
          </cell>
        </row>
      </sheetData>
      <sheetData sheetId="600">
        <row r="3">
          <cell r="BC3" t="str">
            <v>QUOTATION  NO.   :</v>
          </cell>
        </row>
      </sheetData>
      <sheetData sheetId="601">
        <row r="3">
          <cell r="BC3" t="str">
            <v>QUOTATION  NO.   :</v>
          </cell>
        </row>
      </sheetData>
      <sheetData sheetId="602">
        <row r="3">
          <cell r="BC3" t="str">
            <v>QUOTATION  NO.   :</v>
          </cell>
        </row>
      </sheetData>
      <sheetData sheetId="603">
        <row r="3">
          <cell r="BC3" t="str">
            <v>QUOTATION  NO.   :</v>
          </cell>
        </row>
      </sheetData>
      <sheetData sheetId="604">
        <row r="3">
          <cell r="BC3" t="str">
            <v>QUOTATION  NO.   :</v>
          </cell>
        </row>
      </sheetData>
      <sheetData sheetId="605">
        <row r="3">
          <cell r="BC3" t="str">
            <v>QUOTATION  NO.   :</v>
          </cell>
        </row>
      </sheetData>
      <sheetData sheetId="606">
        <row r="3">
          <cell r="BC3" t="str">
            <v>QUOTATION  NO.   :</v>
          </cell>
        </row>
      </sheetData>
      <sheetData sheetId="607">
        <row r="3">
          <cell r="BC3" t="str">
            <v>QUOTATION  NO.   :</v>
          </cell>
        </row>
      </sheetData>
      <sheetData sheetId="608">
        <row r="3">
          <cell r="BC3" t="str">
            <v>QUOTATION  NO.   :</v>
          </cell>
        </row>
      </sheetData>
      <sheetData sheetId="609">
        <row r="3">
          <cell r="BC3" t="str">
            <v>QUOTATION  NO.   :</v>
          </cell>
        </row>
      </sheetData>
      <sheetData sheetId="610">
        <row r="3">
          <cell r="BC3" t="str">
            <v>QUOTATION  NO.   :</v>
          </cell>
        </row>
      </sheetData>
      <sheetData sheetId="611">
        <row r="3">
          <cell r="BC3" t="str">
            <v>QUOTATION  NO.   :</v>
          </cell>
        </row>
      </sheetData>
      <sheetData sheetId="612">
        <row r="3">
          <cell r="BC3" t="str">
            <v>QUOTATION  NO.   :</v>
          </cell>
        </row>
      </sheetData>
      <sheetData sheetId="613">
        <row r="3">
          <cell r="BC3" t="str">
            <v>QUOTATION  NO.   :</v>
          </cell>
        </row>
      </sheetData>
      <sheetData sheetId="614">
        <row r="3">
          <cell r="BC3" t="str">
            <v>QUOTATION  NO.   :</v>
          </cell>
        </row>
      </sheetData>
      <sheetData sheetId="615">
        <row r="3">
          <cell r="BC3" t="str">
            <v>QUOTATION  NO.   :</v>
          </cell>
        </row>
      </sheetData>
      <sheetData sheetId="616">
        <row r="3">
          <cell r="BC3" t="str">
            <v>QUOTATION  NO.   :</v>
          </cell>
        </row>
      </sheetData>
      <sheetData sheetId="617">
        <row r="3">
          <cell r="BC3" t="str">
            <v>QUOTATION  NO.   :</v>
          </cell>
        </row>
      </sheetData>
      <sheetData sheetId="618">
        <row r="3">
          <cell r="BC3" t="str">
            <v>QUOTATION  NO.   :</v>
          </cell>
        </row>
      </sheetData>
      <sheetData sheetId="619" refreshError="1"/>
      <sheetData sheetId="620" refreshError="1"/>
      <sheetData sheetId="621" refreshError="1"/>
      <sheetData sheetId="622">
        <row r="3">
          <cell r="BC3" t="str">
            <v>QUOTATION  NO.   :</v>
          </cell>
        </row>
      </sheetData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3">
          <cell r="BC3" t="str">
            <v>QUOTATION  NO.   :</v>
          </cell>
        </row>
      </sheetData>
      <sheetData sheetId="709">
        <row r="3">
          <cell r="BC3" t="str">
            <v>QUOTATION  NO.   :</v>
          </cell>
        </row>
      </sheetData>
      <sheetData sheetId="710">
        <row r="3">
          <cell r="BC3" t="str">
            <v>QUOTATION  NO.   :</v>
          </cell>
        </row>
      </sheetData>
      <sheetData sheetId="711">
        <row r="3">
          <cell r="BC3" t="str">
            <v>QUOTATION  NO.   :</v>
          </cell>
        </row>
      </sheetData>
      <sheetData sheetId="712">
        <row r="3">
          <cell r="BC3" t="str">
            <v>QUOTATION  NO.   :</v>
          </cell>
        </row>
      </sheetData>
      <sheetData sheetId="713">
        <row r="3">
          <cell r="BC3" t="str">
            <v>QUOTATION  NO.   :</v>
          </cell>
        </row>
      </sheetData>
      <sheetData sheetId="714">
        <row r="3">
          <cell r="BC3" t="str">
            <v>QUOTATION  NO.   :</v>
          </cell>
        </row>
      </sheetData>
      <sheetData sheetId="715">
        <row r="3">
          <cell r="BC3" t="str">
            <v>QUOTATION  NO.   :</v>
          </cell>
        </row>
      </sheetData>
      <sheetData sheetId="716">
        <row r="3">
          <cell r="BC3" t="str">
            <v>QUOTATION  NO.   :</v>
          </cell>
        </row>
      </sheetData>
      <sheetData sheetId="717"/>
      <sheetData sheetId="718"/>
      <sheetData sheetId="719"/>
      <sheetData sheetId="720"/>
      <sheetData sheetId="721" refreshError="1"/>
      <sheetData sheetId="722">
        <row r="3">
          <cell r="BC3" t="str">
            <v>QUOTATION  NO.   :</v>
          </cell>
        </row>
      </sheetData>
      <sheetData sheetId="723">
        <row r="3">
          <cell r="BC3" t="str">
            <v>QUOTATION  NO.   :</v>
          </cell>
        </row>
      </sheetData>
      <sheetData sheetId="724">
        <row r="3">
          <cell r="BC3" t="str">
            <v>QUOTATION  NO.   :</v>
          </cell>
        </row>
      </sheetData>
      <sheetData sheetId="725">
        <row r="3">
          <cell r="BC3" t="str">
            <v>QUOTATION  NO.   :</v>
          </cell>
        </row>
      </sheetData>
      <sheetData sheetId="726">
        <row r="3">
          <cell r="BC3" t="str">
            <v>QUOTATION  NO.   :</v>
          </cell>
        </row>
      </sheetData>
      <sheetData sheetId="727">
        <row r="3">
          <cell r="BC3" t="str">
            <v>QUOTATION  NO.   :</v>
          </cell>
        </row>
      </sheetData>
      <sheetData sheetId="728">
        <row r="3">
          <cell r="BC3" t="str">
            <v>QUOTATION  NO.   :</v>
          </cell>
        </row>
      </sheetData>
      <sheetData sheetId="729">
        <row r="3">
          <cell r="BC3" t="str">
            <v>QUOTATION  NO.   :</v>
          </cell>
        </row>
      </sheetData>
      <sheetData sheetId="730">
        <row r="3">
          <cell r="BC3" t="str">
            <v>QUOTATION  NO.   :</v>
          </cell>
        </row>
      </sheetData>
      <sheetData sheetId="731">
        <row r="3">
          <cell r="BC3" t="str">
            <v>QUOTATION  NO.   :</v>
          </cell>
        </row>
      </sheetData>
      <sheetData sheetId="732">
        <row r="3">
          <cell r="BC3" t="str">
            <v>QUOTATION  NO.   :</v>
          </cell>
        </row>
      </sheetData>
      <sheetData sheetId="733">
        <row r="3">
          <cell r="BC3" t="str">
            <v>QUOTATION  NO.   :</v>
          </cell>
        </row>
      </sheetData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3">
          <cell r="BC3" t="str">
            <v>QUOTATION  NO.   :</v>
          </cell>
        </row>
      </sheetData>
      <sheetData sheetId="780">
        <row r="3">
          <cell r="BC3" t="str">
            <v>QUOTATION  NO.   :</v>
          </cell>
        </row>
      </sheetData>
      <sheetData sheetId="781">
        <row r="3">
          <cell r="BC3" t="str">
            <v>QUOTATION  NO.   :</v>
          </cell>
        </row>
      </sheetData>
      <sheetData sheetId="782">
        <row r="3">
          <cell r="BC3" t="str">
            <v>QUOTATION  NO.   :</v>
          </cell>
        </row>
      </sheetData>
      <sheetData sheetId="783">
        <row r="3">
          <cell r="BC3" t="str">
            <v>QUOTATION  NO.   :</v>
          </cell>
        </row>
      </sheetData>
      <sheetData sheetId="784">
        <row r="3">
          <cell r="BC3" t="str">
            <v>QUOTATION  NO.   :</v>
          </cell>
        </row>
      </sheetData>
      <sheetData sheetId="785">
        <row r="3">
          <cell r="BC3" t="str">
            <v>QUOTATION  NO.   :</v>
          </cell>
        </row>
      </sheetData>
      <sheetData sheetId="786">
        <row r="3">
          <cell r="BC3" t="str">
            <v>QUOTATION  NO.   :</v>
          </cell>
        </row>
      </sheetData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>
        <row r="3">
          <cell r="BC3" t="str">
            <v>QUOTATION  NO.   :</v>
          </cell>
        </row>
      </sheetData>
      <sheetData sheetId="858">
        <row r="3">
          <cell r="BC3" t="str">
            <v>QUOTATION  NO.   :</v>
          </cell>
        </row>
      </sheetData>
      <sheetData sheetId="859">
        <row r="3">
          <cell r="BC3" t="str">
            <v>QUOTATION  NO.   :</v>
          </cell>
        </row>
      </sheetData>
      <sheetData sheetId="860">
        <row r="3">
          <cell r="BC3" t="str">
            <v>QUOTATION  NO.   :</v>
          </cell>
        </row>
      </sheetData>
      <sheetData sheetId="861" refreshError="1"/>
      <sheetData sheetId="862">
        <row r="3">
          <cell r="BC3" t="str">
            <v>QUOTATION  NO.   :</v>
          </cell>
        </row>
      </sheetData>
      <sheetData sheetId="863">
        <row r="3">
          <cell r="BC3" t="str">
            <v>QUOTATION  NO.   :</v>
          </cell>
        </row>
      </sheetData>
      <sheetData sheetId="864">
        <row r="3">
          <cell r="BC3" t="str">
            <v>QUOTATION  NO.   :</v>
          </cell>
        </row>
      </sheetData>
      <sheetData sheetId="865">
        <row r="3">
          <cell r="BC3" t="str">
            <v>QUOTATION  NO.   :</v>
          </cell>
        </row>
      </sheetData>
      <sheetData sheetId="866">
        <row r="3">
          <cell r="BC3" t="str">
            <v>QUOTATION  NO.   :</v>
          </cell>
        </row>
      </sheetData>
      <sheetData sheetId="867">
        <row r="3">
          <cell r="BC3" t="str">
            <v>QUOTATION  NO.   :</v>
          </cell>
        </row>
      </sheetData>
      <sheetData sheetId="868">
        <row r="3">
          <cell r="BC3" t="str">
            <v>QUOTATION  NO.   :</v>
          </cell>
        </row>
      </sheetData>
      <sheetData sheetId="869">
        <row r="3">
          <cell r="BC3" t="str">
            <v>QUOTATION  NO.   :</v>
          </cell>
        </row>
      </sheetData>
      <sheetData sheetId="870">
        <row r="3">
          <cell r="BC3" t="str">
            <v>QUOTATION  NO.   :</v>
          </cell>
        </row>
      </sheetData>
      <sheetData sheetId="871">
        <row r="3">
          <cell r="BC3" t="str">
            <v>QUOTATION  NO.   :</v>
          </cell>
        </row>
      </sheetData>
      <sheetData sheetId="872">
        <row r="3">
          <cell r="BC3" t="str">
            <v>QUOTATION  NO.   :</v>
          </cell>
        </row>
      </sheetData>
      <sheetData sheetId="873">
        <row r="3">
          <cell r="BC3" t="str">
            <v>QUOTATION  NO.   :</v>
          </cell>
        </row>
      </sheetData>
      <sheetData sheetId="874">
        <row r="3">
          <cell r="BC3" t="str">
            <v>QUOTATION  NO.   :</v>
          </cell>
        </row>
      </sheetData>
      <sheetData sheetId="875">
        <row r="3">
          <cell r="BC3" t="str">
            <v>QUOTATION  NO.   :</v>
          </cell>
        </row>
      </sheetData>
      <sheetData sheetId="876">
        <row r="3">
          <cell r="BC3" t="str">
            <v>QUOTATION  NO.   :</v>
          </cell>
        </row>
      </sheetData>
      <sheetData sheetId="877">
        <row r="3">
          <cell r="BC3" t="str">
            <v>QUOTATION  NO.   :</v>
          </cell>
        </row>
      </sheetData>
      <sheetData sheetId="878">
        <row r="3">
          <cell r="BC3" t="str">
            <v>QUOTATION  NO.   :</v>
          </cell>
        </row>
      </sheetData>
      <sheetData sheetId="879">
        <row r="3">
          <cell r="BC3" t="str">
            <v>QUOTATION  NO.   :</v>
          </cell>
        </row>
      </sheetData>
      <sheetData sheetId="880">
        <row r="3">
          <cell r="BC3" t="str">
            <v>QUOTATION  NO.   :</v>
          </cell>
        </row>
      </sheetData>
      <sheetData sheetId="881">
        <row r="3">
          <cell r="BC3" t="str">
            <v>QUOTATION  NO.   :</v>
          </cell>
        </row>
      </sheetData>
      <sheetData sheetId="882">
        <row r="3">
          <cell r="BC3" t="str">
            <v>QUOTATION  NO.   :</v>
          </cell>
        </row>
      </sheetData>
      <sheetData sheetId="883">
        <row r="3">
          <cell r="BC3" t="str">
            <v>QUOTATION  NO.   :</v>
          </cell>
        </row>
      </sheetData>
      <sheetData sheetId="884">
        <row r="3">
          <cell r="BC3" t="str">
            <v>QUOTATION  NO.   :</v>
          </cell>
        </row>
      </sheetData>
      <sheetData sheetId="885">
        <row r="3">
          <cell r="BC3" t="str">
            <v>QUOTATION  NO.   :</v>
          </cell>
        </row>
      </sheetData>
      <sheetData sheetId="886">
        <row r="3">
          <cell r="BC3" t="str">
            <v>QUOTATION  NO.   :</v>
          </cell>
        </row>
      </sheetData>
      <sheetData sheetId="887">
        <row r="3">
          <cell r="BC3" t="str">
            <v>QUOTATION  NO.   :</v>
          </cell>
        </row>
      </sheetData>
      <sheetData sheetId="888">
        <row r="3">
          <cell r="BC3" t="str">
            <v>QUOTATION  NO.   :</v>
          </cell>
        </row>
      </sheetData>
      <sheetData sheetId="889">
        <row r="3">
          <cell r="BC3" t="str">
            <v>QUOTATION  NO.   :</v>
          </cell>
        </row>
      </sheetData>
      <sheetData sheetId="890">
        <row r="3">
          <cell r="BC3" t="str">
            <v>QUOTATION  NO.   :</v>
          </cell>
        </row>
      </sheetData>
      <sheetData sheetId="891">
        <row r="3">
          <cell r="BC3" t="str">
            <v>QUOTATION  NO.   :</v>
          </cell>
        </row>
      </sheetData>
      <sheetData sheetId="892">
        <row r="3">
          <cell r="BC3" t="str">
            <v>QUOTATION  NO.   :</v>
          </cell>
        </row>
      </sheetData>
      <sheetData sheetId="893">
        <row r="3">
          <cell r="BC3" t="str">
            <v>QUOTATION  NO.   :</v>
          </cell>
        </row>
      </sheetData>
      <sheetData sheetId="894">
        <row r="3">
          <cell r="BC3" t="str">
            <v>QUOTATION  NO.   :</v>
          </cell>
        </row>
      </sheetData>
      <sheetData sheetId="895">
        <row r="3">
          <cell r="BC3" t="str">
            <v>QUOTATION  NO.   :</v>
          </cell>
        </row>
      </sheetData>
      <sheetData sheetId="896">
        <row r="3">
          <cell r="BC3" t="str">
            <v>QUOTATION  NO.   :</v>
          </cell>
        </row>
      </sheetData>
      <sheetData sheetId="897">
        <row r="3">
          <cell r="BC3" t="str">
            <v>QUOTATION  NO.   :</v>
          </cell>
        </row>
      </sheetData>
      <sheetData sheetId="898">
        <row r="3">
          <cell r="BC3" t="str">
            <v>QUOTATION  NO.   :</v>
          </cell>
        </row>
      </sheetData>
      <sheetData sheetId="899">
        <row r="3">
          <cell r="BC3" t="str">
            <v>QUOTATION  NO.   :</v>
          </cell>
        </row>
      </sheetData>
      <sheetData sheetId="900">
        <row r="3">
          <cell r="BC3" t="str">
            <v>QUOTATION  NO.   :</v>
          </cell>
        </row>
      </sheetData>
      <sheetData sheetId="901">
        <row r="3">
          <cell r="BC3" t="str">
            <v>QUOTATION  NO.   :</v>
          </cell>
        </row>
      </sheetData>
      <sheetData sheetId="902">
        <row r="3">
          <cell r="BC3" t="str">
            <v>QUOTATION  NO.   :</v>
          </cell>
        </row>
      </sheetData>
      <sheetData sheetId="903">
        <row r="3">
          <cell r="BC3" t="str">
            <v>QUOTATION  NO.   :</v>
          </cell>
        </row>
      </sheetData>
      <sheetData sheetId="904">
        <row r="3">
          <cell r="BC3" t="str">
            <v>QUOTATION  NO.   :</v>
          </cell>
        </row>
      </sheetData>
      <sheetData sheetId="905">
        <row r="3">
          <cell r="BC3" t="str">
            <v>QUOTATION  NO.   :</v>
          </cell>
        </row>
      </sheetData>
      <sheetData sheetId="906">
        <row r="3">
          <cell r="BC3" t="str">
            <v>QUOTATION  NO.   :</v>
          </cell>
        </row>
      </sheetData>
      <sheetData sheetId="907">
        <row r="3">
          <cell r="BC3" t="str">
            <v>QUOTATION  NO.   :</v>
          </cell>
        </row>
      </sheetData>
      <sheetData sheetId="908">
        <row r="3">
          <cell r="BC3" t="str">
            <v>QUOTATION  NO.   :</v>
          </cell>
        </row>
      </sheetData>
      <sheetData sheetId="909">
        <row r="3">
          <cell r="BC3" t="str">
            <v>QUOTATION  NO.   :</v>
          </cell>
        </row>
      </sheetData>
      <sheetData sheetId="910">
        <row r="3">
          <cell r="BC3" t="str">
            <v>QUOTATION  NO.   :</v>
          </cell>
        </row>
      </sheetData>
      <sheetData sheetId="911">
        <row r="3">
          <cell r="BC3" t="str">
            <v>QUOTATION  NO.   :</v>
          </cell>
        </row>
      </sheetData>
      <sheetData sheetId="912">
        <row r="3">
          <cell r="BC3" t="str">
            <v>QUOTATION  NO.   :</v>
          </cell>
        </row>
      </sheetData>
      <sheetData sheetId="913">
        <row r="3">
          <cell r="BC3" t="str">
            <v>QUOTATION  NO.   :</v>
          </cell>
        </row>
      </sheetData>
      <sheetData sheetId="914">
        <row r="3">
          <cell r="BC3" t="str">
            <v>QUOTATION  NO.   :</v>
          </cell>
        </row>
      </sheetData>
      <sheetData sheetId="915">
        <row r="3">
          <cell r="BC3" t="str">
            <v>QUOTATION  NO.   :</v>
          </cell>
        </row>
      </sheetData>
      <sheetData sheetId="916">
        <row r="3">
          <cell r="BC3" t="str">
            <v>QUOTATION  NO.   :</v>
          </cell>
        </row>
      </sheetData>
      <sheetData sheetId="917">
        <row r="3">
          <cell r="BC3" t="str">
            <v>QUOTATION  NO.   :</v>
          </cell>
        </row>
      </sheetData>
      <sheetData sheetId="918">
        <row r="3">
          <cell r="BC3" t="str">
            <v>QUOTATION  NO.   :</v>
          </cell>
        </row>
      </sheetData>
      <sheetData sheetId="919">
        <row r="3">
          <cell r="BC3" t="str">
            <v>QUOTATION  NO.   :</v>
          </cell>
        </row>
      </sheetData>
      <sheetData sheetId="920">
        <row r="3">
          <cell r="BC3" t="str">
            <v>QUOTATION  NO.   :</v>
          </cell>
        </row>
      </sheetData>
      <sheetData sheetId="921">
        <row r="3">
          <cell r="BC3" t="str">
            <v>QUOTATION  NO.   :</v>
          </cell>
        </row>
      </sheetData>
      <sheetData sheetId="922">
        <row r="3">
          <cell r="BC3" t="str">
            <v>QUOTATION  NO.   :</v>
          </cell>
        </row>
      </sheetData>
      <sheetData sheetId="923">
        <row r="3">
          <cell r="BC3" t="str">
            <v>QUOTATION  NO.   :</v>
          </cell>
        </row>
      </sheetData>
      <sheetData sheetId="924">
        <row r="3">
          <cell r="BC3" t="str">
            <v>QUOTATION  NO.   :</v>
          </cell>
        </row>
      </sheetData>
      <sheetData sheetId="925">
        <row r="3">
          <cell r="BC3" t="str">
            <v>QUOTATION  NO.   :</v>
          </cell>
        </row>
      </sheetData>
      <sheetData sheetId="926">
        <row r="3">
          <cell r="BC3" t="str">
            <v>QUOTATION  NO.   :</v>
          </cell>
        </row>
      </sheetData>
      <sheetData sheetId="927">
        <row r="3">
          <cell r="BC3" t="str">
            <v>QUOTATION  NO.   :</v>
          </cell>
        </row>
      </sheetData>
      <sheetData sheetId="928">
        <row r="3">
          <cell r="BC3" t="str">
            <v>QUOTATION  NO.   :</v>
          </cell>
        </row>
      </sheetData>
      <sheetData sheetId="929">
        <row r="3">
          <cell r="BC3" t="str">
            <v>QUOTATION  NO.   :</v>
          </cell>
        </row>
      </sheetData>
      <sheetData sheetId="930">
        <row r="3">
          <cell r="BC3" t="str">
            <v>QUOTATION  NO.   :</v>
          </cell>
        </row>
      </sheetData>
      <sheetData sheetId="931">
        <row r="3">
          <cell r="BC3" t="str">
            <v>QUOTATION  NO.   :</v>
          </cell>
        </row>
      </sheetData>
      <sheetData sheetId="932">
        <row r="3">
          <cell r="BC3" t="str">
            <v>QUOTATION  NO.   :</v>
          </cell>
        </row>
      </sheetData>
      <sheetData sheetId="933">
        <row r="3">
          <cell r="BC3" t="str">
            <v>QUOTATION  NO.   :</v>
          </cell>
        </row>
      </sheetData>
      <sheetData sheetId="934">
        <row r="3">
          <cell r="BC3" t="str">
            <v>QUOTATION  NO.   :</v>
          </cell>
        </row>
      </sheetData>
      <sheetData sheetId="935">
        <row r="3">
          <cell r="BC3" t="str">
            <v>QUOTATION  NO.   :</v>
          </cell>
        </row>
      </sheetData>
      <sheetData sheetId="936">
        <row r="3">
          <cell r="BC3" t="str">
            <v>QUOTATION  NO.   :</v>
          </cell>
        </row>
      </sheetData>
      <sheetData sheetId="937">
        <row r="3">
          <cell r="BC3" t="str">
            <v>QUOTATION  NO.   :</v>
          </cell>
        </row>
      </sheetData>
      <sheetData sheetId="938">
        <row r="3">
          <cell r="BC3" t="str">
            <v>QUOTATION  NO.   :</v>
          </cell>
        </row>
      </sheetData>
      <sheetData sheetId="939">
        <row r="3">
          <cell r="BC3" t="str">
            <v>QUOTATION  NO.   :</v>
          </cell>
        </row>
      </sheetData>
      <sheetData sheetId="940">
        <row r="3">
          <cell r="BC3" t="str">
            <v>QUOTATION  NO.   :</v>
          </cell>
        </row>
      </sheetData>
      <sheetData sheetId="941">
        <row r="3">
          <cell r="BC3" t="str">
            <v>QUOTATION  NO.   :</v>
          </cell>
        </row>
      </sheetData>
      <sheetData sheetId="942">
        <row r="3">
          <cell r="BC3" t="str">
            <v>QUOTATION  NO.   :</v>
          </cell>
        </row>
      </sheetData>
      <sheetData sheetId="943">
        <row r="3">
          <cell r="BC3" t="str">
            <v>QUOTATION  NO.   :</v>
          </cell>
        </row>
      </sheetData>
      <sheetData sheetId="944">
        <row r="3">
          <cell r="BC3" t="str">
            <v>QUOTATION  NO.   :</v>
          </cell>
        </row>
      </sheetData>
      <sheetData sheetId="945">
        <row r="3">
          <cell r="BC3" t="str">
            <v>QUOTATION  NO.   :</v>
          </cell>
        </row>
      </sheetData>
      <sheetData sheetId="946">
        <row r="3">
          <cell r="BC3" t="str">
            <v>QUOTATION  NO.   :</v>
          </cell>
        </row>
      </sheetData>
      <sheetData sheetId="947">
        <row r="3">
          <cell r="BC3" t="str">
            <v>QUOTATION  NO.   :</v>
          </cell>
        </row>
      </sheetData>
      <sheetData sheetId="948">
        <row r="3">
          <cell r="BC3" t="str">
            <v>QUOTATION  NO.   :</v>
          </cell>
        </row>
      </sheetData>
      <sheetData sheetId="949">
        <row r="3">
          <cell r="BC3" t="str">
            <v>QUOTATION  NO.   :</v>
          </cell>
        </row>
      </sheetData>
      <sheetData sheetId="950">
        <row r="3">
          <cell r="BC3" t="str">
            <v>QUOTATION  NO.   :</v>
          </cell>
        </row>
      </sheetData>
      <sheetData sheetId="951">
        <row r="3">
          <cell r="BC3" t="str">
            <v>QUOTATION  NO.   :</v>
          </cell>
        </row>
      </sheetData>
      <sheetData sheetId="952">
        <row r="3">
          <cell r="BC3" t="str">
            <v>QUOTATION  NO.   :</v>
          </cell>
        </row>
      </sheetData>
      <sheetData sheetId="953">
        <row r="3">
          <cell r="BC3" t="str">
            <v>QUOTATION  NO.   :</v>
          </cell>
        </row>
      </sheetData>
      <sheetData sheetId="954">
        <row r="3">
          <cell r="BC3" t="str">
            <v>QUOTATION  NO.   :</v>
          </cell>
        </row>
      </sheetData>
      <sheetData sheetId="955">
        <row r="3">
          <cell r="BC3" t="str">
            <v>QUOTATION  NO.   :</v>
          </cell>
        </row>
      </sheetData>
      <sheetData sheetId="956">
        <row r="3">
          <cell r="BC3" t="str">
            <v>QUOTATION  NO.   :</v>
          </cell>
        </row>
      </sheetData>
      <sheetData sheetId="957">
        <row r="3">
          <cell r="BC3" t="str">
            <v>QUOTATION  NO.   :</v>
          </cell>
        </row>
      </sheetData>
      <sheetData sheetId="958">
        <row r="3">
          <cell r="BC3" t="str">
            <v>QUOTATION  NO.   :</v>
          </cell>
        </row>
      </sheetData>
      <sheetData sheetId="959">
        <row r="3">
          <cell r="BC3" t="str">
            <v>QUOTATION  NO.   :</v>
          </cell>
        </row>
      </sheetData>
      <sheetData sheetId="960">
        <row r="3">
          <cell r="BC3" t="str">
            <v>QUOTATION  NO.   :</v>
          </cell>
        </row>
      </sheetData>
      <sheetData sheetId="961">
        <row r="3">
          <cell r="BC3" t="str">
            <v>QUOTATION  NO.   :</v>
          </cell>
        </row>
      </sheetData>
      <sheetData sheetId="962">
        <row r="3">
          <cell r="BC3" t="str">
            <v>QUOTATION  NO.   :</v>
          </cell>
        </row>
      </sheetData>
      <sheetData sheetId="963">
        <row r="3">
          <cell r="BC3" t="str">
            <v>QUOTATION  NO.   :</v>
          </cell>
        </row>
      </sheetData>
      <sheetData sheetId="964">
        <row r="3">
          <cell r="BC3" t="str">
            <v>QUOTATION  NO.   :</v>
          </cell>
        </row>
      </sheetData>
      <sheetData sheetId="965">
        <row r="3">
          <cell r="BC3" t="str">
            <v>QUOTATION  NO.   :</v>
          </cell>
        </row>
      </sheetData>
      <sheetData sheetId="966">
        <row r="3">
          <cell r="BC3" t="str">
            <v>QUOTATION  NO.   :</v>
          </cell>
        </row>
      </sheetData>
      <sheetData sheetId="967">
        <row r="3">
          <cell r="BC3" t="str">
            <v>QUOTATION  NO.   :</v>
          </cell>
        </row>
      </sheetData>
      <sheetData sheetId="968">
        <row r="3">
          <cell r="BC3" t="str">
            <v>QUOTATION  NO.   :</v>
          </cell>
        </row>
      </sheetData>
      <sheetData sheetId="969">
        <row r="3">
          <cell r="BC3" t="str">
            <v>QUOTATION  NO.   :</v>
          </cell>
        </row>
      </sheetData>
      <sheetData sheetId="970">
        <row r="3">
          <cell r="BC3" t="str">
            <v>QUOTATION  NO.   :</v>
          </cell>
        </row>
      </sheetData>
      <sheetData sheetId="971">
        <row r="3">
          <cell r="BC3" t="str">
            <v>QUOTATION  NO.   :</v>
          </cell>
        </row>
      </sheetData>
      <sheetData sheetId="972">
        <row r="3">
          <cell r="BC3" t="str">
            <v>QUOTATION  NO.   :</v>
          </cell>
        </row>
      </sheetData>
      <sheetData sheetId="973">
        <row r="3">
          <cell r="BC3" t="str">
            <v>QUOTATION  NO.   :</v>
          </cell>
        </row>
      </sheetData>
      <sheetData sheetId="974">
        <row r="3">
          <cell r="BC3" t="str">
            <v>QUOTATION  NO.   :</v>
          </cell>
        </row>
      </sheetData>
      <sheetData sheetId="975">
        <row r="3">
          <cell r="BC3" t="str">
            <v>QUOTATION  NO.   :</v>
          </cell>
        </row>
      </sheetData>
      <sheetData sheetId="976">
        <row r="3">
          <cell r="BC3" t="str">
            <v>QUOTATION  NO.   :</v>
          </cell>
        </row>
      </sheetData>
      <sheetData sheetId="977">
        <row r="3">
          <cell r="BC3" t="str">
            <v>QUOTATION  NO.   :</v>
          </cell>
        </row>
      </sheetData>
      <sheetData sheetId="978">
        <row r="3">
          <cell r="BC3" t="str">
            <v>QUOTATION  NO.   :</v>
          </cell>
        </row>
      </sheetData>
      <sheetData sheetId="979">
        <row r="3">
          <cell r="BC3" t="str">
            <v>QUOTATION  NO.   :</v>
          </cell>
        </row>
      </sheetData>
      <sheetData sheetId="980">
        <row r="3">
          <cell r="BC3" t="str">
            <v>QUOTATION  NO.   :</v>
          </cell>
        </row>
      </sheetData>
      <sheetData sheetId="981">
        <row r="3">
          <cell r="BC3" t="str">
            <v>QUOTATION  NO.   :</v>
          </cell>
        </row>
      </sheetData>
      <sheetData sheetId="982">
        <row r="3">
          <cell r="BC3" t="str">
            <v>QUOTATION  NO.   :</v>
          </cell>
        </row>
      </sheetData>
      <sheetData sheetId="983">
        <row r="3">
          <cell r="BC3" t="str">
            <v>QUOTATION  NO.   :</v>
          </cell>
        </row>
      </sheetData>
      <sheetData sheetId="984">
        <row r="3">
          <cell r="BC3" t="str">
            <v>QUOTATION  NO.   :</v>
          </cell>
        </row>
      </sheetData>
      <sheetData sheetId="985">
        <row r="3">
          <cell r="BC3" t="str">
            <v>QUOTATION  NO.   :</v>
          </cell>
        </row>
      </sheetData>
      <sheetData sheetId="986">
        <row r="3">
          <cell r="BC3" t="str">
            <v>QUOTATION  NO.   :</v>
          </cell>
        </row>
      </sheetData>
      <sheetData sheetId="987">
        <row r="3">
          <cell r="BC3" t="str">
            <v>QUOTATION  NO.   :</v>
          </cell>
        </row>
      </sheetData>
      <sheetData sheetId="988">
        <row r="3">
          <cell r="BC3" t="str">
            <v>QUOTATION  NO.   :</v>
          </cell>
        </row>
      </sheetData>
      <sheetData sheetId="989">
        <row r="3">
          <cell r="BC3" t="str">
            <v>QUOTATION  NO.   :</v>
          </cell>
        </row>
      </sheetData>
      <sheetData sheetId="990">
        <row r="3">
          <cell r="BC3" t="str">
            <v>QUOTATION  NO.   :</v>
          </cell>
        </row>
      </sheetData>
      <sheetData sheetId="991">
        <row r="3">
          <cell r="BC3" t="str">
            <v>QUOTATION  NO.   :</v>
          </cell>
        </row>
      </sheetData>
      <sheetData sheetId="992">
        <row r="3">
          <cell r="BC3" t="str">
            <v>QUOTATION  NO.   :</v>
          </cell>
        </row>
      </sheetData>
      <sheetData sheetId="993">
        <row r="3">
          <cell r="BC3" t="str">
            <v>QUOTATION  NO.   :</v>
          </cell>
        </row>
      </sheetData>
      <sheetData sheetId="994">
        <row r="3">
          <cell r="BC3" t="str">
            <v>QUOTATION  NO.   :</v>
          </cell>
        </row>
      </sheetData>
      <sheetData sheetId="995">
        <row r="3">
          <cell r="BC3" t="str">
            <v>QUOTATION  NO.   :</v>
          </cell>
        </row>
      </sheetData>
      <sheetData sheetId="996">
        <row r="3">
          <cell r="BC3" t="str">
            <v>QUOTATION  NO.   :</v>
          </cell>
        </row>
      </sheetData>
      <sheetData sheetId="997">
        <row r="3">
          <cell r="BC3" t="str">
            <v>QUOTATION  NO.   :</v>
          </cell>
        </row>
      </sheetData>
      <sheetData sheetId="998">
        <row r="3">
          <cell r="BC3" t="str">
            <v>QUOTATION  NO.   :</v>
          </cell>
        </row>
      </sheetData>
      <sheetData sheetId="999">
        <row r="3">
          <cell r="BC3" t="str">
            <v>QUOTATION  NO.   :</v>
          </cell>
        </row>
      </sheetData>
      <sheetData sheetId="1000">
        <row r="3">
          <cell r="BC3" t="str">
            <v>QUOTATION  NO.   :</v>
          </cell>
        </row>
      </sheetData>
      <sheetData sheetId="1001">
        <row r="3">
          <cell r="BC3" t="str">
            <v>QUOTATION  NO.   :</v>
          </cell>
        </row>
      </sheetData>
      <sheetData sheetId="1002">
        <row r="3">
          <cell r="BC3" t="str">
            <v>QUOTATION  NO.   :</v>
          </cell>
        </row>
      </sheetData>
      <sheetData sheetId="1003">
        <row r="3">
          <cell r="BC3" t="str">
            <v>QUOTATION  NO.   :</v>
          </cell>
        </row>
      </sheetData>
      <sheetData sheetId="1004">
        <row r="3">
          <cell r="BC3" t="str">
            <v>QUOTATION  NO.   :</v>
          </cell>
        </row>
      </sheetData>
      <sheetData sheetId="1005">
        <row r="3">
          <cell r="BC3" t="str">
            <v>QUOTATION  NO.   :</v>
          </cell>
        </row>
      </sheetData>
      <sheetData sheetId="1006">
        <row r="3">
          <cell r="BC3" t="str">
            <v>QUOTATION  NO.   :</v>
          </cell>
        </row>
      </sheetData>
      <sheetData sheetId="1007">
        <row r="3">
          <cell r="BC3" t="str">
            <v>QUOTATION  NO.   :</v>
          </cell>
        </row>
      </sheetData>
      <sheetData sheetId="1008">
        <row r="3">
          <cell r="BC3" t="str">
            <v>QUOTATION  NO.   :</v>
          </cell>
        </row>
      </sheetData>
      <sheetData sheetId="1009">
        <row r="3">
          <cell r="BC3" t="str">
            <v>QUOTATION  NO.   :</v>
          </cell>
        </row>
      </sheetData>
      <sheetData sheetId="1010">
        <row r="3">
          <cell r="BC3" t="str">
            <v>QUOTATION  NO.   :</v>
          </cell>
        </row>
      </sheetData>
      <sheetData sheetId="1011">
        <row r="3">
          <cell r="BC3" t="str">
            <v>QUOTATION  NO.   :</v>
          </cell>
        </row>
      </sheetData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>
        <row r="3">
          <cell r="BC3" t="str">
            <v>QUOTATION  NO.   :</v>
          </cell>
        </row>
      </sheetData>
      <sheetData sheetId="1023">
        <row r="3">
          <cell r="BC3" t="str">
            <v>QUOTATION  NO.   :</v>
          </cell>
        </row>
      </sheetData>
      <sheetData sheetId="1024">
        <row r="3">
          <cell r="BC3" t="str">
            <v>QUOTATION  NO.   :</v>
          </cell>
        </row>
      </sheetData>
      <sheetData sheetId="1025">
        <row r="3">
          <cell r="BC3" t="str">
            <v>QUOTATION  NO.   :</v>
          </cell>
        </row>
      </sheetData>
      <sheetData sheetId="1026">
        <row r="3">
          <cell r="BC3" t="str">
            <v>QUOTATION  NO.   :</v>
          </cell>
        </row>
      </sheetData>
      <sheetData sheetId="1027">
        <row r="3">
          <cell r="BC3" t="str">
            <v>QUOTATION  NO.   :</v>
          </cell>
        </row>
      </sheetData>
      <sheetData sheetId="1028">
        <row r="3">
          <cell r="BC3" t="str">
            <v>QUOTATION  NO.   :</v>
          </cell>
        </row>
      </sheetData>
      <sheetData sheetId="1029">
        <row r="3">
          <cell r="BC3" t="str">
            <v>QUOTATION  NO.   :</v>
          </cell>
        </row>
      </sheetData>
      <sheetData sheetId="1030">
        <row r="3">
          <cell r="BC3" t="str">
            <v>QUOTATION  NO.   :</v>
          </cell>
        </row>
      </sheetData>
      <sheetData sheetId="1031">
        <row r="3">
          <cell r="BC3" t="str">
            <v>QUOTATION  NO.   :</v>
          </cell>
        </row>
      </sheetData>
      <sheetData sheetId="1032">
        <row r="3">
          <cell r="BC3" t="str">
            <v>QUOTATION  NO.   :</v>
          </cell>
        </row>
      </sheetData>
      <sheetData sheetId="1033">
        <row r="3">
          <cell r="BC3" t="str">
            <v>QUOTATION  NO.   :</v>
          </cell>
        </row>
      </sheetData>
      <sheetData sheetId="1034">
        <row r="3">
          <cell r="BC3" t="str">
            <v>QUOTATION  NO.   :</v>
          </cell>
        </row>
      </sheetData>
      <sheetData sheetId="1035">
        <row r="3">
          <cell r="BC3" t="str">
            <v>QUOTATION  NO.   :</v>
          </cell>
        </row>
      </sheetData>
      <sheetData sheetId="1036">
        <row r="3">
          <cell r="BC3" t="str">
            <v>QUOTATION  NO.   :</v>
          </cell>
        </row>
      </sheetData>
      <sheetData sheetId="1037">
        <row r="3">
          <cell r="BC3" t="str">
            <v>QUOTATION  NO.   :</v>
          </cell>
        </row>
      </sheetData>
      <sheetData sheetId="1038">
        <row r="3">
          <cell r="BC3" t="str">
            <v>QUOTATION  NO.   :</v>
          </cell>
        </row>
      </sheetData>
      <sheetData sheetId="1039">
        <row r="3">
          <cell r="BC3" t="str">
            <v>QUOTATION  NO.   :</v>
          </cell>
        </row>
      </sheetData>
      <sheetData sheetId="1040">
        <row r="3">
          <cell r="BC3" t="str">
            <v>QUOTATION  NO.   :</v>
          </cell>
        </row>
      </sheetData>
      <sheetData sheetId="1041">
        <row r="3">
          <cell r="BC3" t="str">
            <v>QUOTATION  NO.   :</v>
          </cell>
        </row>
      </sheetData>
      <sheetData sheetId="1042">
        <row r="3">
          <cell r="BC3" t="str">
            <v>QUOTATION  NO.   :</v>
          </cell>
        </row>
      </sheetData>
      <sheetData sheetId="1043">
        <row r="3">
          <cell r="BC3" t="str">
            <v>QUOTATION  NO.   :</v>
          </cell>
        </row>
      </sheetData>
      <sheetData sheetId="1044">
        <row r="3">
          <cell r="BC3" t="str">
            <v>QUOTATION  NO.   :</v>
          </cell>
        </row>
      </sheetData>
      <sheetData sheetId="1045">
        <row r="3">
          <cell r="BC3" t="str">
            <v>QUOTATION  NO.   :</v>
          </cell>
        </row>
      </sheetData>
      <sheetData sheetId="1046">
        <row r="3">
          <cell r="BC3" t="str">
            <v>QUOTATION  NO.   :</v>
          </cell>
        </row>
      </sheetData>
      <sheetData sheetId="1047">
        <row r="3">
          <cell r="BC3" t="str">
            <v>QUOTATION  NO.   :</v>
          </cell>
        </row>
      </sheetData>
      <sheetData sheetId="1048">
        <row r="3">
          <cell r="BC3" t="str">
            <v>QUOTATION  NO.   :</v>
          </cell>
        </row>
      </sheetData>
      <sheetData sheetId="1049">
        <row r="3">
          <cell r="BC3" t="str">
            <v>QUOTATION  NO.   :</v>
          </cell>
        </row>
      </sheetData>
      <sheetData sheetId="1050">
        <row r="3">
          <cell r="BC3" t="str">
            <v>QUOTATION  NO.   :</v>
          </cell>
        </row>
      </sheetData>
      <sheetData sheetId="1051">
        <row r="3">
          <cell r="BC3" t="str">
            <v>QUOTATION  NO.   :</v>
          </cell>
        </row>
      </sheetData>
      <sheetData sheetId="1052">
        <row r="3">
          <cell r="BC3" t="str">
            <v>QUOTATION  NO.   :</v>
          </cell>
        </row>
      </sheetData>
      <sheetData sheetId="1053">
        <row r="3">
          <cell r="BC3" t="str">
            <v>QUOTATION  NO.   :</v>
          </cell>
        </row>
      </sheetData>
      <sheetData sheetId="1054">
        <row r="3">
          <cell r="BC3" t="str">
            <v>QUOTATION  NO.   :</v>
          </cell>
        </row>
      </sheetData>
      <sheetData sheetId="1055">
        <row r="3">
          <cell r="BC3" t="str">
            <v>QUOTATION  NO.   :</v>
          </cell>
        </row>
      </sheetData>
      <sheetData sheetId="1056">
        <row r="3">
          <cell r="BC3" t="str">
            <v>QUOTATION  NO.   :</v>
          </cell>
        </row>
      </sheetData>
      <sheetData sheetId="1057">
        <row r="3">
          <cell r="BC3" t="str">
            <v>QUOTATION  NO.   :</v>
          </cell>
        </row>
      </sheetData>
      <sheetData sheetId="1058">
        <row r="3">
          <cell r="BC3" t="str">
            <v>QUOTATION  NO.   :</v>
          </cell>
        </row>
      </sheetData>
      <sheetData sheetId="1059">
        <row r="3">
          <cell r="BC3" t="str">
            <v>QUOTATION  NO.   :</v>
          </cell>
        </row>
      </sheetData>
      <sheetData sheetId="1060">
        <row r="3">
          <cell r="BC3" t="str">
            <v>QUOTATION  NO.   :</v>
          </cell>
        </row>
      </sheetData>
      <sheetData sheetId="1061">
        <row r="3">
          <cell r="BC3" t="str">
            <v>QUOTATION  NO.   :</v>
          </cell>
        </row>
      </sheetData>
      <sheetData sheetId="1062">
        <row r="3">
          <cell r="BC3" t="str">
            <v>QUOTATION  NO.   :</v>
          </cell>
        </row>
      </sheetData>
      <sheetData sheetId="1063">
        <row r="3">
          <cell r="BC3" t="str">
            <v>QUOTATION  NO.   :</v>
          </cell>
        </row>
      </sheetData>
      <sheetData sheetId="1064">
        <row r="3">
          <cell r="BC3" t="str">
            <v>QUOTATION  NO.   :</v>
          </cell>
        </row>
      </sheetData>
      <sheetData sheetId="1065">
        <row r="3">
          <cell r="BC3" t="str">
            <v>QUOTATION  NO.   :</v>
          </cell>
        </row>
      </sheetData>
      <sheetData sheetId="1066">
        <row r="3">
          <cell r="BC3" t="str">
            <v>QUOTATION  NO.   :</v>
          </cell>
        </row>
      </sheetData>
      <sheetData sheetId="1067">
        <row r="3">
          <cell r="BC3" t="str">
            <v>QUOTATION  NO.   :</v>
          </cell>
        </row>
      </sheetData>
      <sheetData sheetId="1068">
        <row r="3">
          <cell r="BC3" t="str">
            <v>QUOTATION  NO.   :</v>
          </cell>
        </row>
      </sheetData>
      <sheetData sheetId="1069">
        <row r="3">
          <cell r="BC3" t="str">
            <v>QUOTATION  NO.   :</v>
          </cell>
        </row>
      </sheetData>
      <sheetData sheetId="1070">
        <row r="3">
          <cell r="BC3" t="str">
            <v>QUOTATION  NO.   :</v>
          </cell>
        </row>
      </sheetData>
      <sheetData sheetId="1071">
        <row r="3">
          <cell r="BC3" t="str">
            <v>QUOTATION  NO.   :</v>
          </cell>
        </row>
      </sheetData>
      <sheetData sheetId="1072">
        <row r="3">
          <cell r="BC3" t="str">
            <v>QUOTATION  NO.   :</v>
          </cell>
        </row>
      </sheetData>
      <sheetData sheetId="1073">
        <row r="3">
          <cell r="BC3" t="str">
            <v>QUOTATION  NO.   :</v>
          </cell>
        </row>
      </sheetData>
      <sheetData sheetId="1074">
        <row r="3">
          <cell r="BC3" t="str">
            <v>QUOTATION  NO.   :</v>
          </cell>
        </row>
      </sheetData>
      <sheetData sheetId="1075">
        <row r="3">
          <cell r="BC3" t="str">
            <v>QUOTATION  NO.   :</v>
          </cell>
        </row>
      </sheetData>
      <sheetData sheetId="1076">
        <row r="3">
          <cell r="BC3" t="str">
            <v>QUOTATION  NO.   :</v>
          </cell>
        </row>
      </sheetData>
      <sheetData sheetId="1077">
        <row r="3">
          <cell r="BC3" t="str">
            <v>QUOTATION  NO.   :</v>
          </cell>
        </row>
      </sheetData>
      <sheetData sheetId="1078">
        <row r="3">
          <cell r="BC3" t="str">
            <v>QUOTATION  NO.   :</v>
          </cell>
        </row>
      </sheetData>
      <sheetData sheetId="1079">
        <row r="3">
          <cell r="BC3" t="str">
            <v>QUOTATION  NO.   :</v>
          </cell>
        </row>
      </sheetData>
      <sheetData sheetId="1080">
        <row r="3">
          <cell r="BC3" t="str">
            <v>QUOTATION  NO.   :</v>
          </cell>
        </row>
      </sheetData>
      <sheetData sheetId="1081">
        <row r="3">
          <cell r="BC3" t="str">
            <v>QUOTATION  NO.   :</v>
          </cell>
        </row>
      </sheetData>
      <sheetData sheetId="1082">
        <row r="3">
          <cell r="BC3" t="str">
            <v>QUOTATION  NO.   :</v>
          </cell>
        </row>
      </sheetData>
      <sheetData sheetId="1083">
        <row r="3">
          <cell r="BC3" t="str">
            <v>QUOTATION  NO.   :</v>
          </cell>
        </row>
      </sheetData>
      <sheetData sheetId="1084">
        <row r="3">
          <cell r="BC3" t="str">
            <v>QUOTATION  NO.   :</v>
          </cell>
        </row>
      </sheetData>
      <sheetData sheetId="1085">
        <row r="3">
          <cell r="BC3" t="str">
            <v>QUOTATION  NO.   :</v>
          </cell>
        </row>
      </sheetData>
      <sheetData sheetId="1086">
        <row r="3">
          <cell r="BC3" t="str">
            <v>QUOTATION  NO.   :</v>
          </cell>
        </row>
      </sheetData>
      <sheetData sheetId="1087">
        <row r="3">
          <cell r="BC3" t="str">
            <v>QUOTATION  NO.   :</v>
          </cell>
        </row>
      </sheetData>
      <sheetData sheetId="1088">
        <row r="3">
          <cell r="BC3" t="str">
            <v>QUOTATION  NO.   :</v>
          </cell>
        </row>
      </sheetData>
      <sheetData sheetId="1089">
        <row r="3">
          <cell r="BC3" t="str">
            <v>QUOTATION  NO.   :</v>
          </cell>
        </row>
      </sheetData>
      <sheetData sheetId="1090">
        <row r="3">
          <cell r="BC3" t="str">
            <v>QUOTATION  NO.   :</v>
          </cell>
        </row>
      </sheetData>
      <sheetData sheetId="1091">
        <row r="3">
          <cell r="BC3" t="str">
            <v>QUOTATION  NO.   :</v>
          </cell>
        </row>
      </sheetData>
      <sheetData sheetId="1092">
        <row r="3">
          <cell r="BC3" t="str">
            <v>QUOTATION  NO.   :</v>
          </cell>
        </row>
      </sheetData>
      <sheetData sheetId="1093">
        <row r="3">
          <cell r="BC3" t="str">
            <v>QUOTATION  NO.   :</v>
          </cell>
        </row>
      </sheetData>
      <sheetData sheetId="1094">
        <row r="3">
          <cell r="BC3" t="str">
            <v>QUOTATION  NO.   :</v>
          </cell>
        </row>
      </sheetData>
      <sheetData sheetId="1095">
        <row r="3">
          <cell r="BC3" t="str">
            <v>QUOTATION  NO.   :</v>
          </cell>
        </row>
      </sheetData>
      <sheetData sheetId="1096">
        <row r="3">
          <cell r="BC3" t="str">
            <v>QUOTATION  NO.   :</v>
          </cell>
        </row>
      </sheetData>
      <sheetData sheetId="1097">
        <row r="3">
          <cell r="BC3" t="str">
            <v>QUOTATION  NO.   :</v>
          </cell>
        </row>
      </sheetData>
      <sheetData sheetId="1098">
        <row r="3">
          <cell r="BC3" t="str">
            <v>QUOTATION  NO.   :</v>
          </cell>
        </row>
      </sheetData>
      <sheetData sheetId="1099">
        <row r="3">
          <cell r="BC3" t="str">
            <v>QUOTATION  NO.   :</v>
          </cell>
        </row>
      </sheetData>
      <sheetData sheetId="1100">
        <row r="3">
          <cell r="BC3" t="str">
            <v>QUOTATION  NO.   :</v>
          </cell>
        </row>
      </sheetData>
      <sheetData sheetId="1101">
        <row r="3">
          <cell r="BC3" t="str">
            <v>QUOTATION  NO.   :</v>
          </cell>
        </row>
      </sheetData>
      <sheetData sheetId="1102">
        <row r="3">
          <cell r="BC3" t="str">
            <v>QUOTATION  NO.   :</v>
          </cell>
        </row>
      </sheetData>
      <sheetData sheetId="1103">
        <row r="3">
          <cell r="BC3" t="str">
            <v>QUOTATION  NO.   :</v>
          </cell>
        </row>
      </sheetData>
      <sheetData sheetId="1104">
        <row r="3">
          <cell r="BC3" t="str">
            <v>QUOTATION  NO.   :</v>
          </cell>
        </row>
      </sheetData>
      <sheetData sheetId="1105">
        <row r="3">
          <cell r="BC3" t="str">
            <v>QUOTATION  NO.   :</v>
          </cell>
        </row>
      </sheetData>
      <sheetData sheetId="1106">
        <row r="3">
          <cell r="BC3" t="str">
            <v>QUOTATION  NO.   :</v>
          </cell>
        </row>
      </sheetData>
      <sheetData sheetId="1107">
        <row r="3">
          <cell r="BC3" t="str">
            <v>QUOTATION  NO.   :</v>
          </cell>
        </row>
      </sheetData>
      <sheetData sheetId="1108">
        <row r="3">
          <cell r="BC3" t="str">
            <v>QUOTATION  NO.   :</v>
          </cell>
        </row>
      </sheetData>
      <sheetData sheetId="1109">
        <row r="3">
          <cell r="BC3" t="str">
            <v>QUOTATION  NO.   :</v>
          </cell>
        </row>
      </sheetData>
      <sheetData sheetId="1110">
        <row r="3">
          <cell r="BC3" t="str">
            <v>QUOTATION  NO.   :</v>
          </cell>
        </row>
      </sheetData>
      <sheetData sheetId="1111">
        <row r="3">
          <cell r="BC3" t="str">
            <v>QUOTATION  NO.   :</v>
          </cell>
        </row>
      </sheetData>
      <sheetData sheetId="1112">
        <row r="3">
          <cell r="BC3" t="str">
            <v>QUOTATION  NO.   :</v>
          </cell>
        </row>
      </sheetData>
      <sheetData sheetId="1113">
        <row r="3">
          <cell r="BC3" t="str">
            <v>QUOTATION  NO.   :</v>
          </cell>
        </row>
      </sheetData>
      <sheetData sheetId="1114">
        <row r="3">
          <cell r="BC3" t="str">
            <v>QUOTATION  NO.   :</v>
          </cell>
        </row>
      </sheetData>
      <sheetData sheetId="1115">
        <row r="3">
          <cell r="BC3" t="str">
            <v>QUOTATION  NO.   :</v>
          </cell>
        </row>
      </sheetData>
      <sheetData sheetId="1116">
        <row r="3">
          <cell r="BC3" t="str">
            <v>QUOTATION  NO.   :</v>
          </cell>
        </row>
      </sheetData>
      <sheetData sheetId="1117">
        <row r="3">
          <cell r="BC3" t="str">
            <v>QUOTATION  NO.   :</v>
          </cell>
        </row>
      </sheetData>
      <sheetData sheetId="1118">
        <row r="3">
          <cell r="BC3" t="str">
            <v>QUOTATION  NO.   :</v>
          </cell>
        </row>
      </sheetData>
      <sheetData sheetId="1119">
        <row r="3">
          <cell r="BC3" t="str">
            <v>QUOTATION  NO.   :</v>
          </cell>
        </row>
      </sheetData>
      <sheetData sheetId="1120">
        <row r="3">
          <cell r="BC3" t="str">
            <v>QUOTATION  NO.   :</v>
          </cell>
        </row>
      </sheetData>
      <sheetData sheetId="1121">
        <row r="3">
          <cell r="BC3" t="str">
            <v>QUOTATION  NO.   :</v>
          </cell>
        </row>
      </sheetData>
      <sheetData sheetId="1122">
        <row r="3">
          <cell r="BC3" t="str">
            <v>QUOTATION  NO.   :</v>
          </cell>
        </row>
      </sheetData>
      <sheetData sheetId="1123">
        <row r="3">
          <cell r="BC3" t="str">
            <v>QUOTATION  NO.   :</v>
          </cell>
        </row>
      </sheetData>
      <sheetData sheetId="1124">
        <row r="3">
          <cell r="BC3" t="str">
            <v>QUOTATION  NO.   :</v>
          </cell>
        </row>
      </sheetData>
      <sheetData sheetId="1125">
        <row r="3">
          <cell r="BC3" t="str">
            <v>QUOTATION  NO.   :</v>
          </cell>
        </row>
      </sheetData>
      <sheetData sheetId="1126">
        <row r="3">
          <cell r="BC3" t="str">
            <v>QUOTATION  NO.   :</v>
          </cell>
        </row>
      </sheetData>
      <sheetData sheetId="1127">
        <row r="3">
          <cell r="BC3" t="str">
            <v>QUOTATION  NO.   :</v>
          </cell>
        </row>
      </sheetData>
      <sheetData sheetId="1128">
        <row r="3">
          <cell r="BC3" t="str">
            <v>QUOTATION  NO.   :</v>
          </cell>
        </row>
      </sheetData>
      <sheetData sheetId="1129">
        <row r="3">
          <cell r="BC3" t="str">
            <v>QUOTATION  NO.   :</v>
          </cell>
        </row>
      </sheetData>
      <sheetData sheetId="1130">
        <row r="3">
          <cell r="BC3" t="str">
            <v>QUOTATION  NO.   :</v>
          </cell>
        </row>
      </sheetData>
      <sheetData sheetId="1131">
        <row r="3">
          <cell r="BC3" t="str">
            <v>QUOTATION  NO.   :</v>
          </cell>
        </row>
      </sheetData>
      <sheetData sheetId="1132">
        <row r="3">
          <cell r="BC3" t="str">
            <v>QUOTATION  NO.   :</v>
          </cell>
        </row>
      </sheetData>
      <sheetData sheetId="1133">
        <row r="3">
          <cell r="BC3" t="str">
            <v>QUOTATION  NO.   :</v>
          </cell>
        </row>
      </sheetData>
      <sheetData sheetId="1134">
        <row r="3">
          <cell r="BC3" t="str">
            <v>QUOTATION  NO.   :</v>
          </cell>
        </row>
      </sheetData>
      <sheetData sheetId="1135">
        <row r="3">
          <cell r="BC3" t="str">
            <v>QUOTATION  NO.   :</v>
          </cell>
        </row>
      </sheetData>
      <sheetData sheetId="1136">
        <row r="3">
          <cell r="BC3" t="str">
            <v>QUOTATION  NO.   :</v>
          </cell>
        </row>
      </sheetData>
      <sheetData sheetId="1137">
        <row r="3">
          <cell r="BC3" t="str">
            <v>QUOTATION  NO.   :</v>
          </cell>
        </row>
      </sheetData>
      <sheetData sheetId="1138">
        <row r="3">
          <cell r="BC3" t="str">
            <v>QUOTATION  NO.   :</v>
          </cell>
        </row>
      </sheetData>
      <sheetData sheetId="1139">
        <row r="3">
          <cell r="BC3" t="str">
            <v>QUOTATION  NO.   :</v>
          </cell>
        </row>
      </sheetData>
      <sheetData sheetId="1140">
        <row r="3">
          <cell r="BC3" t="str">
            <v>QUOTATION  NO.   :</v>
          </cell>
        </row>
      </sheetData>
      <sheetData sheetId="1141">
        <row r="3">
          <cell r="BC3" t="str">
            <v>QUOTATION  NO.   :</v>
          </cell>
        </row>
      </sheetData>
      <sheetData sheetId="1142">
        <row r="3">
          <cell r="BC3" t="str">
            <v>QUOTATION  NO.   :</v>
          </cell>
        </row>
      </sheetData>
      <sheetData sheetId="1143">
        <row r="3">
          <cell r="BC3" t="str">
            <v>QUOTATION  NO.   :</v>
          </cell>
        </row>
      </sheetData>
      <sheetData sheetId="1144">
        <row r="3">
          <cell r="BC3" t="str">
            <v>QUOTATION  NO.   :</v>
          </cell>
        </row>
      </sheetData>
      <sheetData sheetId="1145">
        <row r="3">
          <cell r="BC3" t="str">
            <v>QUOTATION  NO.   :</v>
          </cell>
        </row>
      </sheetData>
      <sheetData sheetId="1146">
        <row r="3">
          <cell r="BC3" t="str">
            <v>QUOTATION  NO.   :</v>
          </cell>
        </row>
      </sheetData>
      <sheetData sheetId="1147">
        <row r="3">
          <cell r="BC3" t="str">
            <v>QUOTATION  NO.   :</v>
          </cell>
        </row>
      </sheetData>
      <sheetData sheetId="1148">
        <row r="3">
          <cell r="BC3" t="str">
            <v>QUOTATION  NO.   :</v>
          </cell>
        </row>
      </sheetData>
      <sheetData sheetId="1149">
        <row r="3">
          <cell r="BC3" t="str">
            <v>QUOTATION  NO.   :</v>
          </cell>
        </row>
      </sheetData>
      <sheetData sheetId="1150">
        <row r="3">
          <cell r="BC3" t="str">
            <v>QUOTATION  NO.   :</v>
          </cell>
        </row>
      </sheetData>
      <sheetData sheetId="1151">
        <row r="3">
          <cell r="BC3" t="str">
            <v>QUOTATION  NO.   :</v>
          </cell>
        </row>
      </sheetData>
      <sheetData sheetId="1152">
        <row r="3">
          <cell r="BC3" t="str">
            <v>QUOTATION  NO.   :</v>
          </cell>
        </row>
      </sheetData>
      <sheetData sheetId="1153">
        <row r="3">
          <cell r="BC3" t="str">
            <v>QUOTATION  NO.   :</v>
          </cell>
        </row>
      </sheetData>
      <sheetData sheetId="1154">
        <row r="3">
          <cell r="BC3" t="str">
            <v>QUOTATION  NO.   :</v>
          </cell>
        </row>
      </sheetData>
      <sheetData sheetId="1155">
        <row r="3">
          <cell r="BC3" t="str">
            <v>QUOTATION  NO.   :</v>
          </cell>
        </row>
      </sheetData>
      <sheetData sheetId="1156">
        <row r="3">
          <cell r="BC3" t="str">
            <v>QUOTATION  NO.   :</v>
          </cell>
        </row>
      </sheetData>
      <sheetData sheetId="1157">
        <row r="3">
          <cell r="BC3" t="str">
            <v>QUOTATION  NO.   :</v>
          </cell>
        </row>
      </sheetData>
      <sheetData sheetId="1158">
        <row r="3">
          <cell r="BC3" t="str">
            <v>QUOTATION  NO.   :</v>
          </cell>
        </row>
      </sheetData>
      <sheetData sheetId="1159">
        <row r="3">
          <cell r="BC3" t="str">
            <v>QUOTATION  NO.   :</v>
          </cell>
        </row>
      </sheetData>
      <sheetData sheetId="1160">
        <row r="3">
          <cell r="BC3" t="str">
            <v>QUOTATION  NO.   :</v>
          </cell>
        </row>
      </sheetData>
      <sheetData sheetId="1161">
        <row r="3">
          <cell r="BC3" t="str">
            <v>QUOTATION  NO.   :</v>
          </cell>
        </row>
      </sheetData>
      <sheetData sheetId="1162">
        <row r="3">
          <cell r="BC3" t="str">
            <v>QUOTATION  NO.   :</v>
          </cell>
        </row>
      </sheetData>
      <sheetData sheetId="1163">
        <row r="3">
          <cell r="BC3" t="str">
            <v>QUOTATION  NO.   :</v>
          </cell>
        </row>
      </sheetData>
      <sheetData sheetId="1164">
        <row r="3">
          <cell r="BC3" t="str">
            <v>QUOTATION  NO.   :</v>
          </cell>
        </row>
      </sheetData>
      <sheetData sheetId="1165">
        <row r="3">
          <cell r="BC3" t="str">
            <v>QUOTATION  NO.   :</v>
          </cell>
        </row>
      </sheetData>
      <sheetData sheetId="1166">
        <row r="3">
          <cell r="BC3" t="str">
            <v>QUOTATION  NO.   :</v>
          </cell>
        </row>
      </sheetData>
      <sheetData sheetId="1167">
        <row r="3">
          <cell r="BC3" t="str">
            <v>QUOTATION  NO.   :</v>
          </cell>
        </row>
      </sheetData>
      <sheetData sheetId="1168">
        <row r="3">
          <cell r="BC3" t="str">
            <v>QUOTATION  NO.   :</v>
          </cell>
        </row>
      </sheetData>
      <sheetData sheetId="1169">
        <row r="3">
          <cell r="BC3" t="str">
            <v>QUOTATION  NO.   :</v>
          </cell>
        </row>
      </sheetData>
      <sheetData sheetId="1170">
        <row r="3">
          <cell r="BC3" t="str">
            <v>QUOTATION  NO.   :</v>
          </cell>
        </row>
      </sheetData>
      <sheetData sheetId="1171">
        <row r="3">
          <cell r="BC3" t="str">
            <v>QUOTATION  NO.   :</v>
          </cell>
        </row>
      </sheetData>
      <sheetData sheetId="1172">
        <row r="3">
          <cell r="BC3" t="str">
            <v>QUOTATION  NO.   :</v>
          </cell>
        </row>
      </sheetData>
      <sheetData sheetId="1173">
        <row r="3">
          <cell r="BC3" t="str">
            <v>QUOTATION  NO.   :</v>
          </cell>
        </row>
      </sheetData>
      <sheetData sheetId="1174">
        <row r="3">
          <cell r="BC3" t="str">
            <v>QUOTATION  NO.   :</v>
          </cell>
        </row>
      </sheetData>
      <sheetData sheetId="1175">
        <row r="3">
          <cell r="BC3" t="str">
            <v>QUOTATION  NO.   :</v>
          </cell>
        </row>
      </sheetData>
      <sheetData sheetId="1176">
        <row r="3">
          <cell r="BC3" t="str">
            <v>QUOTATION  NO.   :</v>
          </cell>
        </row>
      </sheetData>
      <sheetData sheetId="1177">
        <row r="3">
          <cell r="BC3" t="str">
            <v>QUOTATION  NO.   :</v>
          </cell>
        </row>
      </sheetData>
      <sheetData sheetId="1178">
        <row r="3">
          <cell r="BC3" t="str">
            <v>QUOTATION  NO.   :</v>
          </cell>
        </row>
      </sheetData>
      <sheetData sheetId="1179">
        <row r="3">
          <cell r="BC3" t="str">
            <v>QUOTATION  NO.   :</v>
          </cell>
        </row>
      </sheetData>
      <sheetData sheetId="1180">
        <row r="3">
          <cell r="BC3" t="str">
            <v>QUOTATION  NO.   :</v>
          </cell>
        </row>
      </sheetData>
      <sheetData sheetId="1181">
        <row r="3">
          <cell r="BC3" t="str">
            <v>QUOTATION  NO.   :</v>
          </cell>
        </row>
      </sheetData>
      <sheetData sheetId="1182">
        <row r="3">
          <cell r="BC3" t="str">
            <v>QUOTATION  NO.   :</v>
          </cell>
        </row>
      </sheetData>
      <sheetData sheetId="1183">
        <row r="3">
          <cell r="BC3" t="str">
            <v>QUOTATION  NO.   :</v>
          </cell>
        </row>
      </sheetData>
      <sheetData sheetId="1184">
        <row r="3">
          <cell r="BC3" t="str">
            <v>QUOTATION  NO.   :</v>
          </cell>
        </row>
      </sheetData>
      <sheetData sheetId="1185">
        <row r="3">
          <cell r="BC3" t="str">
            <v>QUOTATION  NO.   :</v>
          </cell>
        </row>
      </sheetData>
      <sheetData sheetId="1186">
        <row r="3">
          <cell r="BC3" t="str">
            <v>QUOTATION  NO.   :</v>
          </cell>
        </row>
      </sheetData>
      <sheetData sheetId="1187">
        <row r="3">
          <cell r="BC3" t="str">
            <v>QUOTATION  NO.   :</v>
          </cell>
        </row>
      </sheetData>
      <sheetData sheetId="1188">
        <row r="3">
          <cell r="BC3" t="str">
            <v>QUOTATION  NO.   :</v>
          </cell>
        </row>
      </sheetData>
      <sheetData sheetId="1189">
        <row r="3">
          <cell r="BC3" t="str">
            <v>QUOTATION  NO.   :</v>
          </cell>
        </row>
      </sheetData>
      <sheetData sheetId="1190">
        <row r="3">
          <cell r="BC3" t="str">
            <v>QUOTATION  NO.   :</v>
          </cell>
        </row>
      </sheetData>
      <sheetData sheetId="1191">
        <row r="3">
          <cell r="BC3" t="str">
            <v>QUOTATION  NO.   :</v>
          </cell>
        </row>
      </sheetData>
      <sheetData sheetId="1192">
        <row r="3">
          <cell r="BC3" t="str">
            <v>QUOTATION  NO.   :</v>
          </cell>
        </row>
      </sheetData>
      <sheetData sheetId="1193">
        <row r="3">
          <cell r="BC3" t="str">
            <v>QUOTATION  NO.   :</v>
          </cell>
        </row>
      </sheetData>
      <sheetData sheetId="1194">
        <row r="3">
          <cell r="BC3" t="str">
            <v>QUOTATION  NO.   :</v>
          </cell>
        </row>
      </sheetData>
      <sheetData sheetId="1195">
        <row r="3">
          <cell r="BC3" t="str">
            <v>QUOTATION  NO.   :</v>
          </cell>
        </row>
      </sheetData>
      <sheetData sheetId="1196">
        <row r="3">
          <cell r="BC3" t="str">
            <v>QUOTATION  NO.   :</v>
          </cell>
        </row>
      </sheetData>
      <sheetData sheetId="1197">
        <row r="3">
          <cell r="BC3" t="str">
            <v>QUOTATION  NO.   :</v>
          </cell>
        </row>
      </sheetData>
      <sheetData sheetId="1198">
        <row r="3">
          <cell r="BC3" t="str">
            <v>QUOTATION  NO.   :</v>
          </cell>
        </row>
      </sheetData>
      <sheetData sheetId="1199">
        <row r="3">
          <cell r="BC3" t="str">
            <v>QUOTATION  NO.   :</v>
          </cell>
        </row>
      </sheetData>
      <sheetData sheetId="1200">
        <row r="3">
          <cell r="BC3" t="str">
            <v>QUOTATION  NO.   :</v>
          </cell>
        </row>
      </sheetData>
      <sheetData sheetId="1201">
        <row r="3">
          <cell r="BC3" t="str">
            <v>QUOTATION  NO.   :</v>
          </cell>
        </row>
      </sheetData>
      <sheetData sheetId="1202">
        <row r="3">
          <cell r="BC3" t="str">
            <v>QUOTATION  NO.   :</v>
          </cell>
        </row>
      </sheetData>
      <sheetData sheetId="1203">
        <row r="3">
          <cell r="BC3" t="str">
            <v>QUOTATION  NO.   :</v>
          </cell>
        </row>
      </sheetData>
      <sheetData sheetId="1204">
        <row r="3">
          <cell r="BC3" t="str">
            <v>QUOTATION  NO.   :</v>
          </cell>
        </row>
      </sheetData>
      <sheetData sheetId="1205">
        <row r="3">
          <cell r="BC3" t="str">
            <v>QUOTATION  NO.   :</v>
          </cell>
        </row>
      </sheetData>
      <sheetData sheetId="1206">
        <row r="3">
          <cell r="BC3" t="str">
            <v>QUOTATION  NO.   :</v>
          </cell>
        </row>
      </sheetData>
      <sheetData sheetId="1207">
        <row r="3">
          <cell r="BC3" t="str">
            <v>QUOTATION  NO.   :</v>
          </cell>
        </row>
      </sheetData>
      <sheetData sheetId="1208">
        <row r="3">
          <cell r="BC3" t="str">
            <v>QUOTATION  NO.   :</v>
          </cell>
        </row>
      </sheetData>
      <sheetData sheetId="1209">
        <row r="3">
          <cell r="BC3" t="str">
            <v>QUOTATION  NO.   :</v>
          </cell>
        </row>
      </sheetData>
      <sheetData sheetId="1210">
        <row r="3">
          <cell r="BC3" t="str">
            <v>QUOTATION  NO.   :</v>
          </cell>
        </row>
      </sheetData>
      <sheetData sheetId="1211">
        <row r="3">
          <cell r="BC3" t="str">
            <v>QUOTATION  NO.   :</v>
          </cell>
        </row>
      </sheetData>
      <sheetData sheetId="1212">
        <row r="3">
          <cell r="BC3" t="str">
            <v>QUOTATION  NO.   :</v>
          </cell>
        </row>
      </sheetData>
      <sheetData sheetId="1213">
        <row r="3">
          <cell r="BC3" t="str">
            <v>QUOTATION  NO.   :</v>
          </cell>
        </row>
      </sheetData>
      <sheetData sheetId="1214">
        <row r="3">
          <cell r="BC3" t="str">
            <v>QUOTATION  NO.   :</v>
          </cell>
        </row>
      </sheetData>
      <sheetData sheetId="1215">
        <row r="3">
          <cell r="BC3" t="str">
            <v>QUOTATION  NO.   :</v>
          </cell>
        </row>
      </sheetData>
      <sheetData sheetId="1216">
        <row r="3">
          <cell r="BC3" t="str">
            <v>QUOTATION  NO.   :</v>
          </cell>
        </row>
      </sheetData>
      <sheetData sheetId="1217">
        <row r="3">
          <cell r="BC3" t="str">
            <v>QUOTATION  NO.   :</v>
          </cell>
        </row>
      </sheetData>
      <sheetData sheetId="1218">
        <row r="3">
          <cell r="BC3" t="str">
            <v>QUOTATION  NO.   :</v>
          </cell>
        </row>
      </sheetData>
      <sheetData sheetId="1219">
        <row r="3">
          <cell r="BC3" t="str">
            <v>QUOTATION  NO.   :</v>
          </cell>
        </row>
      </sheetData>
      <sheetData sheetId="1220">
        <row r="3">
          <cell r="BC3" t="str">
            <v>QUOTATION  NO.   :</v>
          </cell>
        </row>
      </sheetData>
      <sheetData sheetId="1221">
        <row r="3">
          <cell r="BC3" t="str">
            <v>QUOTATION  NO.   :</v>
          </cell>
        </row>
      </sheetData>
      <sheetData sheetId="1222">
        <row r="3">
          <cell r="BC3" t="str">
            <v>QUOTATION  NO.   :</v>
          </cell>
        </row>
      </sheetData>
      <sheetData sheetId="1223">
        <row r="3">
          <cell r="BC3" t="str">
            <v>QUOTATION  NO.   :</v>
          </cell>
        </row>
      </sheetData>
      <sheetData sheetId="1224">
        <row r="3">
          <cell r="BC3" t="str">
            <v>QUOTATION  NO.   :</v>
          </cell>
        </row>
      </sheetData>
      <sheetData sheetId="1225">
        <row r="3">
          <cell r="BC3" t="str">
            <v>QUOTATION  NO.   :</v>
          </cell>
        </row>
      </sheetData>
      <sheetData sheetId="1226">
        <row r="3">
          <cell r="BC3" t="str">
            <v>QUOTATION  NO.   :</v>
          </cell>
        </row>
      </sheetData>
      <sheetData sheetId="1227">
        <row r="3">
          <cell r="BC3" t="str">
            <v>QUOTATION  NO.   :</v>
          </cell>
        </row>
      </sheetData>
      <sheetData sheetId="1228">
        <row r="3">
          <cell r="BC3" t="str">
            <v>QUOTATION  NO.   :</v>
          </cell>
        </row>
      </sheetData>
      <sheetData sheetId="1229">
        <row r="3">
          <cell r="BC3" t="str">
            <v>QUOTATION  NO.   :</v>
          </cell>
        </row>
      </sheetData>
      <sheetData sheetId="1230">
        <row r="3">
          <cell r="BC3" t="str">
            <v>QUOTATION  NO.   :</v>
          </cell>
        </row>
      </sheetData>
      <sheetData sheetId="1231">
        <row r="3">
          <cell r="BC3" t="str">
            <v>QUOTATION  NO.   :</v>
          </cell>
        </row>
      </sheetData>
      <sheetData sheetId="1232">
        <row r="3">
          <cell r="BC3" t="str">
            <v>QUOTATION  NO.   :</v>
          </cell>
        </row>
      </sheetData>
      <sheetData sheetId="1233">
        <row r="3">
          <cell r="BC3" t="str">
            <v>QUOTATION  NO.   :</v>
          </cell>
        </row>
      </sheetData>
      <sheetData sheetId="1234">
        <row r="3">
          <cell r="BC3" t="str">
            <v>QUOTATION  NO.   :</v>
          </cell>
        </row>
      </sheetData>
      <sheetData sheetId="1235">
        <row r="3">
          <cell r="BC3" t="str">
            <v>QUOTATION  NO.   :</v>
          </cell>
        </row>
      </sheetData>
      <sheetData sheetId="1236">
        <row r="3">
          <cell r="BC3" t="str">
            <v>QUOTATION  NO.   :</v>
          </cell>
        </row>
      </sheetData>
      <sheetData sheetId="1237">
        <row r="3">
          <cell r="BC3" t="str">
            <v>QUOTATION  NO.   :</v>
          </cell>
        </row>
      </sheetData>
      <sheetData sheetId="1238">
        <row r="3">
          <cell r="BC3" t="str">
            <v>QUOTATION  NO.   :</v>
          </cell>
        </row>
      </sheetData>
      <sheetData sheetId="1239">
        <row r="3">
          <cell r="BC3" t="str">
            <v>QUOTATION  NO.   :</v>
          </cell>
        </row>
      </sheetData>
      <sheetData sheetId="1240">
        <row r="3">
          <cell r="BC3" t="str">
            <v>QUOTATION  NO.   :</v>
          </cell>
        </row>
      </sheetData>
      <sheetData sheetId="1241">
        <row r="3">
          <cell r="BC3" t="str">
            <v>QUOTATION  NO.   :</v>
          </cell>
        </row>
      </sheetData>
      <sheetData sheetId="1242">
        <row r="3">
          <cell r="BC3" t="str">
            <v>QUOTATION  NO.   :</v>
          </cell>
        </row>
      </sheetData>
      <sheetData sheetId="1243">
        <row r="3">
          <cell r="BC3" t="str">
            <v>QUOTATION  NO.   :</v>
          </cell>
        </row>
      </sheetData>
      <sheetData sheetId="1244">
        <row r="3">
          <cell r="BC3" t="str">
            <v>QUOTATION  NO.   :</v>
          </cell>
        </row>
      </sheetData>
      <sheetData sheetId="1245">
        <row r="3">
          <cell r="BC3" t="str">
            <v>QUOTATION  NO.   :</v>
          </cell>
        </row>
      </sheetData>
      <sheetData sheetId="1246">
        <row r="3">
          <cell r="BC3" t="str">
            <v>QUOTATION  NO.   :</v>
          </cell>
        </row>
      </sheetData>
      <sheetData sheetId="1247">
        <row r="3">
          <cell r="BC3" t="str">
            <v>QUOTATION  NO.   :</v>
          </cell>
        </row>
      </sheetData>
      <sheetData sheetId="1248">
        <row r="3">
          <cell r="BC3" t="str">
            <v>QUOTATION  NO.   :</v>
          </cell>
        </row>
      </sheetData>
      <sheetData sheetId="1249">
        <row r="3">
          <cell r="BC3" t="str">
            <v>QUOTATION  NO.   :</v>
          </cell>
        </row>
      </sheetData>
      <sheetData sheetId="1250">
        <row r="3">
          <cell r="BC3" t="str">
            <v>QUOTATION  NO.   :</v>
          </cell>
        </row>
      </sheetData>
      <sheetData sheetId="1251">
        <row r="3">
          <cell r="BC3" t="str">
            <v>QUOTATION  NO.   :</v>
          </cell>
        </row>
      </sheetData>
      <sheetData sheetId="1252">
        <row r="3">
          <cell r="BC3" t="str">
            <v>QUOTATION  NO.   :</v>
          </cell>
        </row>
      </sheetData>
      <sheetData sheetId="1253">
        <row r="3">
          <cell r="BC3" t="str">
            <v>QUOTATION  NO.   :</v>
          </cell>
        </row>
      </sheetData>
      <sheetData sheetId="1254">
        <row r="3">
          <cell r="BC3" t="str">
            <v>QUOTATION  NO.   :</v>
          </cell>
        </row>
      </sheetData>
      <sheetData sheetId="1255">
        <row r="3">
          <cell r="BC3" t="str">
            <v>QUOTATION  NO.   :</v>
          </cell>
        </row>
      </sheetData>
      <sheetData sheetId="1256">
        <row r="3">
          <cell r="BC3" t="str">
            <v>QUOTATION  NO.   :</v>
          </cell>
        </row>
      </sheetData>
      <sheetData sheetId="1257">
        <row r="3">
          <cell r="BC3" t="str">
            <v>QUOTATION  NO.   :</v>
          </cell>
        </row>
      </sheetData>
      <sheetData sheetId="1258">
        <row r="3">
          <cell r="BC3" t="str">
            <v>QUOTATION  NO.   :</v>
          </cell>
        </row>
      </sheetData>
      <sheetData sheetId="1259">
        <row r="3">
          <cell r="BC3" t="str">
            <v>QUOTATION  NO.   :</v>
          </cell>
        </row>
      </sheetData>
      <sheetData sheetId="1260">
        <row r="3">
          <cell r="BC3" t="str">
            <v>QUOTATION  NO.   :</v>
          </cell>
        </row>
      </sheetData>
      <sheetData sheetId="1261">
        <row r="3">
          <cell r="BC3" t="str">
            <v>QUOTATION  NO.   :</v>
          </cell>
        </row>
      </sheetData>
      <sheetData sheetId="1262">
        <row r="3">
          <cell r="BC3" t="str">
            <v>QUOTATION  NO.   :</v>
          </cell>
        </row>
      </sheetData>
      <sheetData sheetId="1263">
        <row r="3">
          <cell r="BC3" t="str">
            <v>QUOTATION  NO.   :</v>
          </cell>
        </row>
      </sheetData>
      <sheetData sheetId="1264">
        <row r="3">
          <cell r="BC3" t="str">
            <v>QUOTATION  NO.   :</v>
          </cell>
        </row>
      </sheetData>
      <sheetData sheetId="1265">
        <row r="3">
          <cell r="BC3" t="str">
            <v>QUOTATION  NO.   :</v>
          </cell>
        </row>
      </sheetData>
      <sheetData sheetId="1266">
        <row r="3">
          <cell r="BC3" t="str">
            <v>QUOTATION  NO.   :</v>
          </cell>
        </row>
      </sheetData>
      <sheetData sheetId="1267">
        <row r="3">
          <cell r="BC3" t="str">
            <v>QUOTATION  NO.   :</v>
          </cell>
        </row>
      </sheetData>
      <sheetData sheetId="1268">
        <row r="3">
          <cell r="BC3" t="str">
            <v>QUOTATION  NO.   :</v>
          </cell>
        </row>
      </sheetData>
      <sheetData sheetId="1269">
        <row r="3">
          <cell r="BC3" t="str">
            <v>QUOTATION  NO.   :</v>
          </cell>
        </row>
      </sheetData>
      <sheetData sheetId="1270"/>
      <sheetData sheetId="1271"/>
      <sheetData sheetId="1272"/>
      <sheetData sheetId="1273"/>
      <sheetData sheetId="1274">
        <row r="3">
          <cell r="BC3" t="str">
            <v>QUOTATION  NO.   :</v>
          </cell>
        </row>
      </sheetData>
      <sheetData sheetId="1275">
        <row r="3">
          <cell r="BC3" t="str">
            <v>QUOTATION  NO.   :</v>
          </cell>
        </row>
      </sheetData>
      <sheetData sheetId="1276">
        <row r="3">
          <cell r="BC3" t="str">
            <v>QUOTATION  NO.   :</v>
          </cell>
        </row>
      </sheetData>
      <sheetData sheetId="1277">
        <row r="3">
          <cell r="BC3" t="str">
            <v>QUOTATION  NO.   :</v>
          </cell>
        </row>
      </sheetData>
      <sheetData sheetId="1278">
        <row r="3">
          <cell r="BC3" t="str">
            <v>QUOTATION  NO.   :</v>
          </cell>
        </row>
      </sheetData>
      <sheetData sheetId="1279">
        <row r="3">
          <cell r="BC3" t="str">
            <v>QUOTATION  NO.   :</v>
          </cell>
        </row>
      </sheetData>
      <sheetData sheetId="1280">
        <row r="3">
          <cell r="BC3" t="str">
            <v>QUOTATION  NO.   :</v>
          </cell>
        </row>
      </sheetData>
      <sheetData sheetId="1281">
        <row r="3">
          <cell r="BC3" t="str">
            <v>QUOTATION  NO.   :</v>
          </cell>
        </row>
      </sheetData>
      <sheetData sheetId="1282">
        <row r="3">
          <cell r="BC3" t="str">
            <v>QUOTATION  NO.   :</v>
          </cell>
        </row>
      </sheetData>
      <sheetData sheetId="1283">
        <row r="3">
          <cell r="BC3" t="str">
            <v>QUOTATION  NO.   :</v>
          </cell>
        </row>
      </sheetData>
      <sheetData sheetId="1284">
        <row r="3">
          <cell r="BC3" t="str">
            <v>QUOTATION  NO.   :</v>
          </cell>
        </row>
      </sheetData>
      <sheetData sheetId="1285">
        <row r="3">
          <cell r="BC3" t="str">
            <v>QUOTATION  NO.   :</v>
          </cell>
        </row>
      </sheetData>
      <sheetData sheetId="1286">
        <row r="12">
          <cell r="B12" t="str">
            <v>10101-000003</v>
          </cell>
        </row>
      </sheetData>
      <sheetData sheetId="1287">
        <row r="3">
          <cell r="BC3" t="str">
            <v>QUOTATION  NO.   :</v>
          </cell>
        </row>
      </sheetData>
      <sheetData sheetId="1288" refreshError="1"/>
      <sheetData sheetId="1289" refreshError="1"/>
      <sheetData sheetId="1290" refreshError="1"/>
      <sheetData sheetId="1291" refreshError="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main"/>
      <sheetName val="A.Prelim."/>
      <sheetName val="B.Str."/>
      <sheetName val="C.Arc."/>
      <sheetName val="D.External"/>
      <sheetName val="escon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 REDUCED 1"/>
      <sheetName val="Concourse-C"/>
      <sheetName val=""/>
      <sheetName val="SUMMARY"/>
      <sheetName val="summary1-3"/>
      <sheetName val="summary1-2"/>
      <sheetName val="AC REDUCED 1"/>
      <sheetName val="Sheet1"/>
      <sheetName val="Sheet2"/>
      <sheetName val="Sheet3"/>
      <sheetName val="General"/>
      <sheetName val="covere"/>
      <sheetName val="splinkler"/>
      <sheetName val="SAN-CC"/>
      <sheetName val="(B)Direct"/>
      <sheetName val="BASE"/>
      <sheetName val="AC_REDUCED_1"/>
      <sheetName val="SAN_REDUCED_1"/>
      <sheetName val="รวมราคาทั้งสิ้น"/>
      <sheetName val="S0"/>
      <sheetName val="Item 1-13"/>
      <sheetName val="Bill No. 2 - Carpark"/>
      <sheetName val="Manpower"/>
      <sheetName val="Quotation"/>
      <sheetName val="RC.footing"/>
      <sheetName val="เหล็ก RB, DB"/>
      <sheetName val="โครงสร้าง"/>
      <sheetName val="Unit rate Architecture"/>
      <sheetName val="STMspry"/>
      <sheetName val="PsychroData"/>
      <sheetName val="ELEC "/>
      <sheetName val="Shc"/>
      <sheetName val="สรุปราคาค่าก่อสร้าง"/>
      <sheetName val="A"/>
      <sheetName val="B"/>
      <sheetName val="C"/>
      <sheetName val="F"/>
      <sheetName val="K"/>
      <sheetName val="J"/>
      <sheetName val="BG (R10)"/>
      <sheetName val="Kentokai Code C From"/>
      <sheetName val="Sum"/>
      <sheetName val="sum BG1"/>
      <sheetName val="CHW(1)"/>
      <sheetName val="CHW (2)"/>
      <sheetName val="CA(1)"/>
      <sheetName val="CA(2)"/>
      <sheetName val="F (1)"/>
      <sheetName val="F (2)"/>
      <sheetName val="Toilet-D (1)"/>
      <sheetName val="Toilet-D (2)"/>
      <sheetName val="Ref.(1)"/>
      <sheetName val="Ref.(2)"/>
      <sheetName val="D AC-(1)"/>
      <sheetName val="RO (1)"/>
      <sheetName val="RO (2)"/>
      <sheetName val="Recycle (1)"/>
      <sheetName val="Recycle (2)"/>
      <sheetName val="PCW(1)"/>
      <sheetName val="Sa(1)"/>
      <sheetName val="Sa(2)"/>
      <sheetName val="SC Duct (1)"/>
      <sheetName val="SC Duct (2)"/>
      <sheetName val="PCW (2)"/>
      <sheetName val="Process D(1)"/>
      <sheetName val="Process D(2)"/>
      <sheetName val="CW (1)"/>
      <sheetName val="CW (2)"/>
      <sheetName val="AC_REDUCED_12"/>
      <sheetName val="SAN_REDUCED_12"/>
      <sheetName val="AC_REDUCED_11"/>
      <sheetName val="SAN_REDUCED_11"/>
      <sheetName val=" SST72~Shelter"/>
      <sheetName val="Total"/>
      <sheetName val="Book 1 Summary"/>
      <sheetName val="Mat"/>
      <sheetName val="Cost Planing (R) (2)"/>
      <sheetName val="Footing Work"/>
      <sheetName val="1 (2)"/>
      <sheetName val="大学A"/>
      <sheetName val="大学B"/>
      <sheetName val="短大"/>
      <sheetName val="副部長以下管理職"/>
      <sheetName val="部長以上"/>
      <sheetName val="高校"/>
      <sheetName val="Data"/>
      <sheetName val="Structure"/>
      <sheetName val="เหล็ก_RB,_DB"/>
      <sheetName val="S3 Architectural"/>
      <sheetName val="(Input Data)"/>
      <sheetName val="F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양식"/>
      <sheetName val="PUMP"/>
      <sheetName val="공사비 내역 (가)"/>
      <sheetName val="견적서"/>
      <sheetName val="2공구산출내역"/>
      <sheetName val="환율"/>
      <sheetName val="70%"/>
      <sheetName val="기성현황"/>
      <sheetName val="사업전망"/>
      <sheetName val="원가현황"/>
      <sheetName val="노임9월"/>
      <sheetName val="당초"/>
      <sheetName val="할증 "/>
      <sheetName val="노임단가"/>
      <sheetName val="기본단가"/>
      <sheetName val="인건비단가"/>
      <sheetName val="★도급내역"/>
      <sheetName val="을"/>
      <sheetName val="??? ?? (?)"/>
      <sheetName val="공사비_내역_(가)"/>
      <sheetName val="할증_"/>
      <sheetName val="적용환율"/>
      <sheetName val="F4-F7"/>
      <sheetName val="일위대가"/>
      <sheetName val="___ __ (_)"/>
      <sheetName val="전기3.1 단가비교표(분전반)"/>
      <sheetName val="전기1. 단위내역목록"/>
      <sheetName val="전기4. 인건비"/>
      <sheetName val="escon"/>
      <sheetName val="name"/>
      <sheetName val="配管単価"/>
      <sheetName val="stair"/>
      <sheetName val="footing"/>
      <sheetName val="BUR4-Rd"/>
      <sheetName val="BUR3-DrnRC"/>
      <sheetName val="시멘트"/>
      <sheetName val="SCIB_Proforma"/>
      <sheetName val="SCIB_Data"/>
      <sheetName val="Control"/>
      <sheetName val="Interior Plot - B"/>
      <sheetName val="Piling Works"/>
      <sheetName val="Cash Flow"/>
      <sheetName val="Boq(1)"/>
      <sheetName val="Sheet1"/>
      <sheetName val="예산내역"/>
      <sheetName val="총괄수지표"/>
      <sheetName val="공사비내역서"/>
      <sheetName val="회사99"/>
      <sheetName val="Project-A"/>
      <sheetName val="일위_파일"/>
      <sheetName val="내역5"/>
      <sheetName val="Summary Sheets"/>
      <sheetName val="도기류"/>
      <sheetName val="계화배수"/>
      <sheetName val="도급실행"/>
      <sheetName val="도급견적가"/>
      <sheetName val="요율"/>
      <sheetName val="현장관리비"/>
      <sheetName val="실행내역"/>
      <sheetName val="dg-VTu"/>
      <sheetName val="Tke"/>
      <sheetName val="단가일람"/>
      <sheetName val="단위량당중기"/>
      <sheetName val="설계명세서"/>
      <sheetName val="품셈표"/>
      <sheetName val="증감대비"/>
      <sheetName val="2.설계제원"/>
      <sheetName val=" 내역서"/>
      <sheetName val="PipWT"/>
      <sheetName val="SE-611"/>
      <sheetName val="배서어음명세서"/>
      <sheetName val="Equipment"/>
      <sheetName val="KKC Brkdwn"/>
      <sheetName val="Factor F Data"/>
      <sheetName val="summary1-3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remaining bil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BankofThailand"/>
      <sheetName val="TAC"/>
      <sheetName val="รามไทย"/>
      <sheetName val="FORM"/>
      <sheetName val="Quote"/>
      <sheetName val="ตามลูกค้าต้องการ"/>
      <sheetName val="ราคาหนังแท้-เทียม"/>
      <sheetName val="สรุป"/>
      <sheetName val="SAN REDUCED 1"/>
      <sheetName val="FR"/>
      <sheetName val="sales3level"/>
      <sheetName val="รวมราคาทั้งสิ้น"/>
      <sheetName val="boq"/>
      <sheetName val="งานบริหารโครงสร้างและดำเนินการ"/>
      <sheetName val="LITF"/>
      <sheetName val="SH-F"/>
      <sheetName val="CashFlow"/>
      <sheetName val="ราคาต่ำสุด-721"/>
      <sheetName val="EE PRICE"/>
      <sheetName val="FS"/>
      <sheetName val="GEN SA"/>
      <sheetName val="Sch_1"/>
      <sheetName val="Sch_2"/>
      <sheetName val="Sch_3"/>
      <sheetName val="Sch_4"/>
      <sheetName val="SCHEDULE_6"/>
      <sheetName val="SCHEDULE_4"/>
      <sheetName val="SUM. ID (FITOUT)"/>
      <sheetName val="Preliminary"/>
      <sheetName val="1) LIFT LOBBY"/>
      <sheetName val="2) GENERAL LOUNGE"/>
      <sheetName val="3) UNISEX "/>
      <sheetName val="4) Male&amp;Female Bathroom"/>
      <sheetName val="Sheet1"/>
      <sheetName val="เตรียมการและบริหารโครงการ"/>
      <sheetName val="stair"/>
      <sheetName val="footing"/>
      <sheetName val="DETAIL"/>
      <sheetName val="ประมาณการประตูหน้าต่าง "/>
      <sheetName val="Boq(1)"/>
      <sheetName val="Cal Fto"/>
      <sheetName val="Hauling"/>
      <sheetName val="Back Up"/>
      <sheetName val="SUMMARY"/>
      <sheetName val="1) SUM-ID FIT OUT GUESTROOM"/>
      <sheetName val="1) 1BR (47 Sq.m)"/>
      <sheetName val="5) 2BR (87 Sq.m)"/>
      <sheetName val="9) 2BR (114 Sq.m)"/>
      <sheetName val="2) SUM-ID FIT OUT PUBLIC AREA"/>
      <sheetName val="3) BUILT-IN_GUESTROOM"/>
      <sheetName val="4) LOOSE FURNITURE - PUBLIC"/>
      <sheetName val="5) CURTAIN - PUBLIC"/>
      <sheetName val="7) DECORATIVE LIGHTING - PUBLIC"/>
      <sheetName val="8) RUG - PUBLIC"/>
      <sheetName val="VANITY_GUESTROOM"/>
      <sheetName val="BASIN_GUESTROOM"/>
      <sheetName val="PRICE LIST"/>
      <sheetName val="SH-A"/>
      <sheetName val="Spread"/>
      <sheetName val="sheetNO"/>
      <sheetName val="Data"/>
      <sheetName val="Exec Summary"/>
      <sheetName val="Sensitivities"/>
      <sheetName val="Discounted Cash Flow"/>
      <sheetName val="งานทาง"/>
      <sheetName val="งานสะพาน"/>
      <sheetName val="covere"/>
      <sheetName val="#REF"/>
      <sheetName val="CAL"/>
      <sheetName val="code"/>
      <sheetName val="SAN_REDUCED_1"/>
      <sheetName val="ตารางวันหยุด"/>
      <sheetName val="I-slab"/>
      <sheetName val="Factor F Data"/>
      <sheetName val="概総括1"/>
      <sheetName val="GEN_SA"/>
      <sheetName val="EE_PRICE"/>
      <sheetName val="SUM__ID_(FITOUT)"/>
      <sheetName val="1)_LIFT_LOBBY"/>
      <sheetName val="2)_GENERAL_LOUNGE"/>
      <sheetName val="3)_UNISEX_"/>
      <sheetName val="4)_Male&amp;Female_Bathroom"/>
      <sheetName val="Store"/>
      <sheetName val="ภูมิทัศน์"/>
      <sheetName val="11 ข้อมูลงานCon"/>
      <sheetName val="12 ข้อมูลงานไม้แบบ"/>
      <sheetName val="SUM-AIR-Submit"/>
      <sheetName val="BK Unit Rate"/>
      <sheetName val="FAB별"/>
      <sheetName val="conc-foot-gradeslab"/>
      <sheetName val="ประมาณการประตูหน้าต่าง_"/>
      <sheetName val="Cal_Fto"/>
      <sheetName val="Exec_Summary"/>
      <sheetName val="Discounted_Cash_Flow"/>
      <sheetName val="Back_Up"/>
      <sheetName val="1)_SUM-ID_FIT_OUT_GUESTROOM"/>
      <sheetName val="1)_1BR_(47_Sq_m)"/>
      <sheetName val="5)_2BR_(87_Sq_m)"/>
      <sheetName val="9)_2BR_(114_Sq_m)"/>
      <sheetName val="2)_SUM-ID_FIT_OUT_PUBLIC_AREA"/>
      <sheetName val="3)_BUILT-IN_GUESTROOM"/>
      <sheetName val="4)_LOOSE_FURNITURE_-_PUBLIC"/>
      <sheetName val="5)_CURTAIN_-_PUBLIC"/>
      <sheetName val="7)_DECORATIVE_LIGHTING_-_PUBLIC"/>
      <sheetName val="8)_RUG_-_PUBLIC"/>
      <sheetName val="Structural work"/>
      <sheetName val="เสนอราคา- (สูตร)-1"/>
      <sheetName val="PRICE_LIST"/>
      <sheetName val="F4-F7"/>
      <sheetName val="SCIB_Proforma"/>
      <sheetName val="SCIB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_EMC (2)"/>
      <sheetName val="สรุป_EMC"/>
      <sheetName val="สถาปัต1.1"/>
      <sheetName val="สถาปัต1.2"/>
      <sheetName val="ตกแต่งภายใน2.1"/>
      <sheetName val="ตกแต่งภายใน2.2"/>
      <sheetName val="โครงสร้าง3.1"/>
      <sheetName val="โครงสร้าง3.2"/>
      <sheetName val="8.สาธารณูปโภคส่วนกลาง"/>
      <sheetName val="9.ภูมิสถาปัตย์"/>
      <sheetName val="10.งานครุภัณฑ์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EMC"/>
      <sheetName val="Sum"/>
      <sheetName val="งานเตรียมการ"/>
      <sheetName val="สรุปราคาค่าก่อสร้าง"/>
      <sheetName val="ห้องเก็บขยะ"/>
      <sheetName val="อาคารA"/>
      <sheetName val="อาคารB"/>
      <sheetName val="อาคารR"/>
      <sheetName val="อาคารC"/>
      <sheetName val="อาคารD"/>
      <sheetName val="อาคารE"/>
      <sheetName val="อาคารF"/>
      <sheetName val="อาคารG"/>
      <sheetName val="อาคารH"/>
      <sheetName val="อาคารI"/>
      <sheetName val="อาคารJ"/>
      <sheetName val="อาคารK1,2-L1,2"/>
      <sheetName val="อาคารM1,2-N1,2"/>
    </sheetNames>
    <sheetDataSet>
      <sheetData sheetId="0">
        <row r="7">
          <cell r="N7">
            <v>1</v>
          </cell>
          <cell r="O7">
            <v>1</v>
          </cell>
        </row>
        <row r="8">
          <cell r="N8">
            <v>1</v>
          </cell>
          <cell r="O8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"/>
      <sheetName val="ราคาต่อหน่วย - จำนวน เข็ม"/>
      <sheetName val="Total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</sheetNames>
    <sheetDataSet>
      <sheetData sheetId="0" refreshError="1"/>
      <sheetData sheetId="1" refreshError="1"/>
      <sheetData sheetId="2" refreshError="1"/>
      <sheetData sheetId="3" refreshError="1">
        <row r="36">
          <cell r="E36">
            <v>33375</v>
          </cell>
          <cell r="H36">
            <v>40033</v>
          </cell>
          <cell r="K36">
            <v>46383</v>
          </cell>
        </row>
        <row r="73">
          <cell r="E73">
            <v>43411</v>
          </cell>
          <cell r="H73">
            <v>54949</v>
          </cell>
          <cell r="K73">
            <v>57823</v>
          </cell>
        </row>
        <row r="110">
          <cell r="E110">
            <v>17892</v>
          </cell>
          <cell r="H110">
            <v>17892</v>
          </cell>
          <cell r="K110">
            <v>17892</v>
          </cell>
        </row>
        <row r="147">
          <cell r="E147">
            <v>56279</v>
          </cell>
          <cell r="H147">
            <v>66569</v>
          </cell>
          <cell r="K147">
            <v>76923</v>
          </cell>
        </row>
      </sheetData>
      <sheetData sheetId="4" refreshError="1">
        <row r="36">
          <cell r="E36">
            <v>90301</v>
          </cell>
          <cell r="H36">
            <v>99762</v>
          </cell>
          <cell r="K36">
            <v>136235</v>
          </cell>
        </row>
        <row r="73">
          <cell r="E73">
            <v>38752</v>
          </cell>
          <cell r="H73">
            <v>38752</v>
          </cell>
          <cell r="K73">
            <v>54348</v>
          </cell>
        </row>
        <row r="110">
          <cell r="E110">
            <v>45748</v>
          </cell>
          <cell r="H110">
            <v>45748</v>
          </cell>
          <cell r="K110">
            <v>60880</v>
          </cell>
        </row>
        <row r="147">
          <cell r="E147">
            <v>56474</v>
          </cell>
          <cell r="H147">
            <v>56474</v>
          </cell>
          <cell r="K147">
            <v>78407</v>
          </cell>
        </row>
        <row r="184">
          <cell r="E184">
            <v>35652</v>
          </cell>
          <cell r="H184">
            <v>38602</v>
          </cell>
          <cell r="K184">
            <v>43050</v>
          </cell>
        </row>
        <row r="221">
          <cell r="E221">
            <v>41216</v>
          </cell>
          <cell r="H221">
            <v>47648</v>
          </cell>
          <cell r="K221">
            <v>53928</v>
          </cell>
        </row>
        <row r="258">
          <cell r="E258">
            <v>43440</v>
          </cell>
          <cell r="H258">
            <v>46390</v>
          </cell>
          <cell r="K258">
            <v>56924</v>
          </cell>
        </row>
      </sheetData>
      <sheetData sheetId="5" refreshError="1">
        <row r="34">
          <cell r="E34">
            <v>47485</v>
          </cell>
          <cell r="H34">
            <v>52617</v>
          </cell>
          <cell r="K34">
            <v>64023</v>
          </cell>
        </row>
        <row r="69">
          <cell r="E69">
            <v>63775</v>
          </cell>
          <cell r="H69">
            <v>75990</v>
          </cell>
          <cell r="K69">
            <v>79643</v>
          </cell>
        </row>
        <row r="104">
          <cell r="E104">
            <v>67591</v>
          </cell>
          <cell r="H104">
            <v>79335</v>
          </cell>
          <cell r="K104">
            <v>91327</v>
          </cell>
        </row>
        <row r="139">
          <cell r="E139">
            <v>125597</v>
          </cell>
          <cell r="H139">
            <v>142813</v>
          </cell>
          <cell r="K139">
            <v>163427</v>
          </cell>
        </row>
        <row r="174">
          <cell r="E174">
            <v>153282</v>
          </cell>
          <cell r="H174">
            <v>179342</v>
          </cell>
          <cell r="K174">
            <v>201430</v>
          </cell>
        </row>
        <row r="209">
          <cell r="E209">
            <v>147484</v>
          </cell>
          <cell r="H209">
            <v>165926</v>
          </cell>
          <cell r="K209">
            <v>189137</v>
          </cell>
        </row>
      </sheetData>
      <sheetData sheetId="6" refreshError="1">
        <row r="35">
          <cell r="E35">
            <v>108583</v>
          </cell>
          <cell r="H35">
            <v>115955</v>
          </cell>
          <cell r="K35">
            <v>131995</v>
          </cell>
        </row>
        <row r="72">
          <cell r="E72">
            <v>124453</v>
          </cell>
          <cell r="H72">
            <v>150592</v>
          </cell>
          <cell r="K72">
            <v>158977</v>
          </cell>
        </row>
      </sheetData>
      <sheetData sheetId="7" refreshError="1">
        <row r="34">
          <cell r="E34">
            <v>82046</v>
          </cell>
          <cell r="H34">
            <v>88024</v>
          </cell>
          <cell r="K34">
            <v>107109</v>
          </cell>
        </row>
        <row r="69">
          <cell r="E69">
            <v>82046</v>
          </cell>
          <cell r="H69">
            <v>88024</v>
          </cell>
          <cell r="K69">
            <v>107109</v>
          </cell>
        </row>
      </sheetData>
      <sheetData sheetId="8" refreshError="1">
        <row r="35">
          <cell r="E35">
            <v>60471</v>
          </cell>
          <cell r="H35">
            <v>68575</v>
          </cell>
          <cell r="K35">
            <v>78039</v>
          </cell>
        </row>
        <row r="72">
          <cell r="E72">
            <v>63537</v>
          </cell>
          <cell r="H72">
            <v>72217</v>
          </cell>
          <cell r="K72">
            <v>87438</v>
          </cell>
        </row>
        <row r="109">
          <cell r="E109">
            <v>142760</v>
          </cell>
          <cell r="H109">
            <v>152960</v>
          </cell>
          <cell r="K109">
            <v>174515</v>
          </cell>
        </row>
        <row r="146">
          <cell r="E146">
            <v>38526</v>
          </cell>
          <cell r="H146">
            <v>45826</v>
          </cell>
          <cell r="K146">
            <v>50192</v>
          </cell>
        </row>
        <row r="183">
          <cell r="E183">
            <v>51726</v>
          </cell>
          <cell r="H183">
            <v>54146</v>
          </cell>
          <cell r="K183">
            <v>68460</v>
          </cell>
        </row>
        <row r="220">
          <cell r="E220">
            <v>63860</v>
          </cell>
          <cell r="H220">
            <v>72860</v>
          </cell>
          <cell r="K220">
            <v>83864</v>
          </cell>
        </row>
        <row r="257">
          <cell r="E257">
            <v>93998</v>
          </cell>
          <cell r="H257">
            <v>104646</v>
          </cell>
          <cell r="K257">
            <v>122330</v>
          </cell>
        </row>
        <row r="294">
          <cell r="E294">
            <v>99148</v>
          </cell>
          <cell r="H294">
            <v>110896</v>
          </cell>
          <cell r="K294">
            <v>132024</v>
          </cell>
        </row>
        <row r="331">
          <cell r="E331">
            <v>63860</v>
          </cell>
          <cell r="H331">
            <v>72860</v>
          </cell>
          <cell r="K331">
            <v>83864</v>
          </cell>
        </row>
      </sheetData>
      <sheetData sheetId="9" refreshError="1">
        <row r="36">
          <cell r="E36">
            <v>41552</v>
          </cell>
          <cell r="H36">
            <v>48182</v>
          </cell>
          <cell r="K36">
            <v>53024</v>
          </cell>
        </row>
        <row r="73">
          <cell r="E73">
            <v>58961</v>
          </cell>
          <cell r="H73">
            <v>70411</v>
          </cell>
          <cell r="K73">
            <v>89299</v>
          </cell>
        </row>
        <row r="110">
          <cell r="E110">
            <v>50744</v>
          </cell>
          <cell r="H110">
            <v>62976</v>
          </cell>
          <cell r="K110">
            <v>80520</v>
          </cell>
        </row>
      </sheetData>
      <sheetData sheetId="10" refreshError="1">
        <row r="36">
          <cell r="E36">
            <v>73435</v>
          </cell>
          <cell r="H36">
            <v>79244</v>
          </cell>
          <cell r="K36">
            <v>89456</v>
          </cell>
        </row>
      </sheetData>
      <sheetData sheetId="11" refreshError="1">
        <row r="36">
          <cell r="E36">
            <v>61146</v>
          </cell>
          <cell r="H36">
            <v>67638</v>
          </cell>
          <cell r="K36">
            <v>80870</v>
          </cell>
        </row>
        <row r="73">
          <cell r="E73">
            <v>73422</v>
          </cell>
          <cell r="H73">
            <v>90600</v>
          </cell>
          <cell r="K73">
            <v>106971</v>
          </cell>
        </row>
        <row r="110">
          <cell r="E110">
            <v>124549</v>
          </cell>
          <cell r="H110">
            <v>145774</v>
          </cell>
          <cell r="K110">
            <v>163668</v>
          </cell>
        </row>
        <row r="147">
          <cell r="E147">
            <v>0</v>
          </cell>
          <cell r="H147">
            <v>0</v>
          </cell>
          <cell r="K147">
            <v>0</v>
          </cell>
        </row>
        <row r="184">
          <cell r="E184">
            <v>0</v>
          </cell>
          <cell r="H184">
            <v>0</v>
          </cell>
          <cell r="K184">
            <v>0</v>
          </cell>
        </row>
        <row r="221">
          <cell r="E221">
            <v>95348</v>
          </cell>
          <cell r="H221">
            <v>0</v>
          </cell>
          <cell r="K221">
            <v>0</v>
          </cell>
        </row>
      </sheetData>
      <sheetData sheetId="12" refreshError="1">
        <row r="36">
          <cell r="E36">
            <v>56123</v>
          </cell>
          <cell r="H36">
            <v>56448</v>
          </cell>
          <cell r="K36">
            <v>66554</v>
          </cell>
        </row>
        <row r="73">
          <cell r="E73">
            <v>53012</v>
          </cell>
          <cell r="H73">
            <v>59828</v>
          </cell>
          <cell r="K73">
            <v>66296</v>
          </cell>
        </row>
        <row r="110">
          <cell r="E110">
            <v>57190</v>
          </cell>
          <cell r="H110">
            <v>67178</v>
          </cell>
          <cell r="K110">
            <v>73018</v>
          </cell>
        </row>
        <row r="147">
          <cell r="E147">
            <v>70235</v>
          </cell>
          <cell r="H147">
            <v>80673</v>
          </cell>
          <cell r="K147">
            <v>95838</v>
          </cell>
        </row>
      </sheetData>
      <sheetData sheetId="13" refreshError="1">
        <row r="36">
          <cell r="E36">
            <v>93062</v>
          </cell>
          <cell r="H36">
            <v>101677</v>
          </cell>
          <cell r="K36">
            <v>116552</v>
          </cell>
        </row>
        <row r="73">
          <cell r="E73">
            <v>84242</v>
          </cell>
          <cell r="H73">
            <v>93397</v>
          </cell>
          <cell r="K73">
            <v>103103</v>
          </cell>
        </row>
        <row r="110">
          <cell r="E110">
            <v>101116</v>
          </cell>
          <cell r="H110">
            <v>107549</v>
          </cell>
          <cell r="K110">
            <v>131514</v>
          </cell>
        </row>
      </sheetData>
      <sheetData sheetId="14" refreshError="1">
        <row r="36">
          <cell r="E36">
            <v>50813</v>
          </cell>
          <cell r="H36">
            <v>56301</v>
          </cell>
          <cell r="K36">
            <v>64033</v>
          </cell>
        </row>
      </sheetData>
      <sheetData sheetId="15" refreshError="1">
        <row r="36">
          <cell r="E36">
            <v>67484</v>
          </cell>
          <cell r="H36">
            <v>71638</v>
          </cell>
          <cell r="K36">
            <v>87568</v>
          </cell>
        </row>
        <row r="73">
          <cell r="E73">
            <v>77172</v>
          </cell>
          <cell r="H73">
            <v>87384</v>
          </cell>
          <cell r="K73">
            <v>100710</v>
          </cell>
        </row>
      </sheetData>
      <sheetData sheetId="16" refreshError="1">
        <row r="36">
          <cell r="E36">
            <v>0</v>
          </cell>
          <cell r="H36">
            <v>0</v>
          </cell>
          <cell r="K36">
            <v>0</v>
          </cell>
        </row>
        <row r="73">
          <cell r="E73">
            <v>0</v>
          </cell>
          <cell r="H73">
            <v>0</v>
          </cell>
          <cell r="K73">
            <v>0</v>
          </cell>
        </row>
        <row r="110">
          <cell r="E110">
            <v>0</v>
          </cell>
          <cell r="H110">
            <v>0</v>
          </cell>
          <cell r="K110">
            <v>0</v>
          </cell>
        </row>
        <row r="147">
          <cell r="E147">
            <v>0</v>
          </cell>
          <cell r="H147">
            <v>0</v>
          </cell>
          <cell r="K147">
            <v>0</v>
          </cell>
        </row>
      </sheetData>
      <sheetData sheetId="17" refreshError="1">
        <row r="36">
          <cell r="E36">
            <v>37704</v>
          </cell>
          <cell r="H36">
            <v>45173</v>
          </cell>
          <cell r="K36">
            <v>51205</v>
          </cell>
        </row>
        <row r="73">
          <cell r="E73">
            <v>46872</v>
          </cell>
          <cell r="H73">
            <v>46872</v>
          </cell>
          <cell r="K73">
            <v>56602</v>
          </cell>
        </row>
        <row r="110">
          <cell r="E110">
            <v>54415</v>
          </cell>
          <cell r="H110">
            <v>61449</v>
          </cell>
          <cell r="K110">
            <v>67119</v>
          </cell>
        </row>
        <row r="147">
          <cell r="E147">
            <v>42160</v>
          </cell>
          <cell r="H147">
            <v>45594</v>
          </cell>
          <cell r="K147">
            <v>53474</v>
          </cell>
        </row>
      </sheetData>
      <sheetData sheetId="18" refreshError="1">
        <row r="36">
          <cell r="E36">
            <v>64273</v>
          </cell>
          <cell r="H36">
            <v>73288</v>
          </cell>
          <cell r="K36">
            <v>81751</v>
          </cell>
        </row>
        <row r="73">
          <cell r="E73">
            <v>74685</v>
          </cell>
          <cell r="H73">
            <v>83114</v>
          </cell>
          <cell r="K73">
            <v>96175</v>
          </cell>
        </row>
        <row r="110">
          <cell r="E110">
            <v>58164</v>
          </cell>
          <cell r="H110">
            <v>63714</v>
          </cell>
          <cell r="K110">
            <v>76572</v>
          </cell>
        </row>
        <row r="147">
          <cell r="E147">
            <v>50601</v>
          </cell>
          <cell r="H147">
            <v>57469</v>
          </cell>
          <cell r="K147">
            <v>63341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G"/>
      <sheetName val="SH_B"/>
      <sheetName val="SH_C"/>
      <sheetName val="SH_D"/>
      <sheetName val="SH_E"/>
      <sheetName val="SH_F"/>
      <sheetName val="정부노임단가"/>
      <sheetName val="2000전체분"/>
      <sheetName val="2000년1차"/>
      <sheetName val="차액보증"/>
      <sheetName val="Book 1 Summary"/>
      <sheetName val="Equipment"/>
      <sheetName val="detail"/>
      <sheetName val="บทสรุปผู้บริหาร"/>
      <sheetName val="ประมาณการประตูหน้าต่าง "/>
      <sheetName val="Store"/>
      <sheetName val="ประมาณการประตูหน้าต่าง_1"/>
      <sheetName val="ประมาณการประตูหน้าต่าง_"/>
      <sheetName val="รวมราคาทั้งสิ้น"/>
      <sheetName val="PL"/>
      <sheetName val="Book_1_Summary"/>
      <sheetName val="電気設備表"/>
      <sheetName val="Main Sum (Hotel &amp; Residences)"/>
      <sheetName val="ตารางวันหยุด"/>
      <sheetName val="ราคาบ้านแต่ละไตรมาส"/>
      <sheetName val="Summary POL Equip"/>
      <sheetName val="Equipment Rental Price"/>
      <sheetName val="Doc"/>
      <sheetName val="EXF"/>
      <sheetName val="BK Unit Rate"/>
      <sheetName val="Sheet1"/>
      <sheetName val="Quotation"/>
      <sheetName val="ค่าวัสดุ"/>
      <sheetName val="e4"/>
      <sheetName val="boq"/>
      <sheetName val="BOQ1 (2)"/>
      <sheetName val="Sum_EMC"/>
      <sheetName val="EST-FOOTING (G)"/>
      <sheetName val="QUANTITY COMPARISON"/>
      <sheetName val="แบบเดิม"/>
      <sheetName val="Bill No. 2 - Carpark"/>
      <sheetName val="ประมาณการประตูหน้าต่าง_2"/>
      <sheetName val="งานระบบไฟฟ้าและสื่อสาร"/>
      <sheetName val="ประม_x0000__x0000__x0001__x0000__x0001_ࠀЉ_x0000_쪊疒_xddef__x0000__xdd00__x0000_Ͽ_x0000_ï_x0000_孔I"/>
      <sheetName val="code"/>
      <sheetName val="ยานพาหนะ"/>
      <sheetName val="인원계획-미화"/>
      <sheetName val="AC"/>
      <sheetName val="Book_1_Summary1"/>
      <sheetName val="ประมาณการประตูหน้าต่าง_3"/>
      <sheetName val="Main_Sum_(Hotel_&amp;_Residences)"/>
      <sheetName val="Summary_POL_Equip"/>
      <sheetName val="Equipment_Rental_Price"/>
      <sheetName val="BK_Unit_Rate"/>
      <sheetName val="BOQ1_(2)"/>
      <sheetName val="EST-FOOTING_(G)"/>
      <sheetName val="QUANTITY_COMPARISON"/>
      <sheetName val="Bill_No__2_-_Carpark"/>
      <sheetName val="ประมࠀЉ쪊疒Ͽï孔I"/>
      <sheetName val="ราคาต่ำสุด-721"/>
      <sheetName val="S-5"/>
      <sheetName val="ราคาอ้างอิง"/>
      <sheetName val="DETAIL "/>
      <sheetName val="splinkler"/>
      <sheetName val="ประม??_x0001_?_x0001_ࠀЉ?쪊疒_xddef_?_xdd00_?Ͽ?ï?孔I"/>
      <sheetName val="Replacement Cost "/>
      <sheetName val="Factor F Data"/>
      <sheetName val="สรุปราคา (EMC)"/>
      <sheetName val="建築代価"/>
      <sheetName val="Cavity Inputs"/>
      <sheetName val="SAN REDUCED 1"/>
      <sheetName val="LpC"/>
      <sheetName val="ประมาณการประตูหน้าต่าง_4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1"/>
      <sheetName val="ประมาณการประตูหน้าต่าง_5"/>
      <sheetName val="FAB별"/>
      <sheetName val="ประม"/>
      <sheetName val="ประม___x0001___x0001_ࠀЉ_쪊疒_xddef___xdd00__Ͽ_ï_孔I"/>
      <sheetName val="เอกอุดร"/>
      <sheetName val="ht"/>
      <sheetName val="Present-ex"/>
      <sheetName val="Cavity_Inputs"/>
      <sheetName val="SITE OFFICE"/>
      <sheetName val=" Cover 090EPY"/>
      <sheetName val="EPY Jan 60"/>
      <sheetName val="A-Sum"/>
      <sheetName val="D-สรุป Plaza"/>
      <sheetName val="E-Share Parking"/>
      <sheetName val="F-Landscape"/>
      <sheetName val="I-Soft Cost"/>
      <sheetName val="I-Detail Soft"/>
      <sheetName val="H-Share M&amp;E"/>
      <sheetName val="สรุปราคาค่าก่อสร้าง_EMC"/>
      <sheetName val="mapping"/>
      <sheetName val="vendor list"/>
      <sheetName val="ตารางส่วนลด EE."/>
      <sheetName val="ประม_x0000__x0000__x0001__x0000__x0001_ࠀЉ_x0000_쪊疒�_x0000_�_x0000_Ͽ_x0000_ï_x0000_孔I"/>
      <sheetName val="schedule "/>
      <sheetName val="Cover"/>
      <sheetName val="s-curve"/>
      <sheetName val="งานโครงสร้าง"/>
      <sheetName val="21"/>
      <sheetName val="covert (2)"/>
      <sheetName val="Customize Your Purchase Order"/>
      <sheetName val="ประม??_x0001_?_x0001_ࠀЉ?쪊疒�?�?Ͽ?ï?孔I"/>
      <sheetName val="ประม___x0001___x0001_ࠀЉ_쪊疒�_�_Ͽ_ï_孔I"/>
      <sheetName val="Cavity_Inputs1"/>
      <sheetName val="SUM-AIR-Submit"/>
      <sheetName val="SCHEDULE_6"/>
      <sheetName val="SCHEDULE_4"/>
      <sheetName val="A"/>
      <sheetName val="งานบริหารโครงสร้างและดำเนินการ"/>
      <sheetName val="สรุป"/>
      <sheetName val="Replacement_Cost_"/>
      <sheetName val="Book_1_Summary3"/>
      <sheetName val="BOQ1_(2)2"/>
      <sheetName val="EST-FOOTING_(G)2"/>
      <sheetName val="QUANTITY_COMPARISON2"/>
      <sheetName val="Bill_No__2_-_Carpark2"/>
      <sheetName val="Main_Sum_(Hotel_&amp;_Residences)2"/>
      <sheetName val="Summary_POL_Equip2"/>
      <sheetName val="Equipment_Rental_Price2"/>
      <sheetName val="BK_Unit_Rate2"/>
      <sheetName val="สรุป_EMC"/>
      <sheetName val="ประม??_x0001_?_x0001_ࠀЉ?쪊疒????Ͽ?ï?孔I"/>
      <sheetName val="ประม___x0001___x0001_ࠀЉ_쪊疒?_?_Ͽ_ï_孔I"/>
      <sheetName val="Boq(1)"/>
      <sheetName val="Form"/>
      <sheetName val="Structure"/>
      <sheetName val="beam-reinft"/>
      <sheetName val="calc_menu_déroulant"/>
      <sheetName val="เงินกู้ธนชาติ"/>
      <sheetName val="เงินกู้ MGC"/>
      <sheetName val="สุขาภิบาล"/>
      <sheetName val="stair"/>
      <sheetName val="P7 "/>
      <sheetName val="ประม_x0000__x0000__x0001__x0000"/>
      <sheetName val="ประม___x0001___x0001_ࠀЉ_쪊疒_xdde"/>
      <sheetName val="ประม___x0001___x0001_ࠀЉ_쪊疒�_�_Ͽ"/>
      <sheetName val="Exp"/>
      <sheetName val="name"/>
      <sheetName val="Final Summary - Base"/>
      <sheetName val="STMspry"/>
      <sheetName val="PsychroData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โครงสร้าง"/>
      <sheetName val="Schedule"/>
      <sheetName val="Arch"/>
      <sheetName val="ประม_x005f_x0000__x005f_x0000__x005f_x0001__x0000"/>
      <sheetName val="ประม___x005f_x0001___x005f_x0001_ࠀЉ_쪊疒_xdde"/>
      <sheetName val="ประม??_x005f_x0001_?_x005f_x0001_ࠀЉ?쪊疒_xdde"/>
      <sheetName val="ประม___x005f_x0001___x005f_x0001_ࠀЉ_쪊疒�_�_Ͽ"/>
      <sheetName val="2.1.1Take pipe"/>
      <sheetName val="2.1.2Take Copper Pipe"/>
      <sheetName val="CashFlow"/>
    </sheetNames>
    <sheetDataSet>
      <sheetData sheetId="0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/>
          </cell>
          <cell r="D5" t="str">
            <v>TRANSFORMER , GENERATOR AND HIGH-VOLTAGE EQUIPMENT</v>
          </cell>
        </row>
        <row r="6">
          <cell r="C6">
            <v>1</v>
          </cell>
          <cell r="D6" t="str">
            <v>OIL IMMERSED TRANSFORMER</v>
          </cell>
        </row>
        <row r="7">
          <cell r="C7">
            <v>101</v>
          </cell>
          <cell r="D7" t="str">
            <v>33 KV. OIL IMMERSED TRANS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OIL IMMERSED TRANS. 100 KVA.</v>
          </cell>
          <cell r="E8">
            <v>137000</v>
          </cell>
          <cell r="F8">
            <v>2500</v>
          </cell>
          <cell r="G8" t="str">
            <v>SET</v>
          </cell>
        </row>
        <row r="9">
          <cell r="C9">
            <v>102</v>
          </cell>
          <cell r="D9" t="str">
            <v>-  OIL IMMERSED TRANS. 160 KVA.</v>
          </cell>
          <cell r="E9">
            <v>148000</v>
          </cell>
          <cell r="F9">
            <v>2500</v>
          </cell>
          <cell r="G9" t="str">
            <v>SET</v>
          </cell>
        </row>
        <row r="10">
          <cell r="C10">
            <v>103</v>
          </cell>
          <cell r="D10" t="str">
            <v>-  OIL IMMERSED TRANS. 250 KVA.</v>
          </cell>
          <cell r="E10">
            <v>193000</v>
          </cell>
          <cell r="F10">
            <v>2500</v>
          </cell>
          <cell r="G10" t="str">
            <v>SET</v>
          </cell>
        </row>
        <row r="11">
          <cell r="C11">
            <v>104</v>
          </cell>
          <cell r="D11" t="str">
            <v>-  OIL IMMERSED TRANS. 315 KVA.</v>
          </cell>
          <cell r="E11">
            <v>262000</v>
          </cell>
          <cell r="F11">
            <v>3000</v>
          </cell>
          <cell r="G11" t="str">
            <v>SET</v>
          </cell>
        </row>
        <row r="12">
          <cell r="C12">
            <v>105</v>
          </cell>
          <cell r="D12" t="str">
            <v>-  OIL IMMERSED TRANS. 400 KVA.</v>
          </cell>
          <cell r="E12">
            <v>297500</v>
          </cell>
          <cell r="F12">
            <v>3000</v>
          </cell>
          <cell r="G12" t="str">
            <v>SET</v>
          </cell>
        </row>
        <row r="13">
          <cell r="C13">
            <v>106</v>
          </cell>
          <cell r="D13" t="str">
            <v>-  OIL IMMERSED TRANS. 500 KVA.</v>
          </cell>
          <cell r="E13">
            <v>323000</v>
          </cell>
          <cell r="F13">
            <v>3000</v>
          </cell>
          <cell r="G13" t="str">
            <v>SET</v>
          </cell>
        </row>
        <row r="14">
          <cell r="C14">
            <v>107</v>
          </cell>
          <cell r="D14" t="str">
            <v>-  OIL IMMERSED TRANS. 630 KVA.</v>
          </cell>
          <cell r="E14">
            <v>359000</v>
          </cell>
          <cell r="F14">
            <v>5000</v>
          </cell>
          <cell r="G14" t="str">
            <v>SET</v>
          </cell>
        </row>
        <row r="15">
          <cell r="C15">
            <v>108</v>
          </cell>
          <cell r="D15" t="str">
            <v>-  OIL IMMERSED TRANS. 800 KVA.</v>
          </cell>
          <cell r="E15">
            <v>446000</v>
          </cell>
          <cell r="F15">
            <v>5000</v>
          </cell>
          <cell r="G15" t="str">
            <v>SET</v>
          </cell>
        </row>
        <row r="16">
          <cell r="C16">
            <v>109</v>
          </cell>
          <cell r="D16" t="str">
            <v>-  OIL IMMERSED TRANS. 1,000 KVA.</v>
          </cell>
          <cell r="E16">
            <v>542000</v>
          </cell>
          <cell r="F16">
            <v>6000</v>
          </cell>
          <cell r="G16" t="str">
            <v>SET</v>
          </cell>
        </row>
        <row r="17">
          <cell r="C17">
            <v>110</v>
          </cell>
          <cell r="D17" t="str">
            <v>-  OIL IMMERSED TRANS. 1,250 KVA.</v>
          </cell>
          <cell r="E17">
            <v>595000</v>
          </cell>
          <cell r="F17">
            <v>6000</v>
          </cell>
          <cell r="G17" t="str">
            <v>SET</v>
          </cell>
        </row>
        <row r="18">
          <cell r="C18">
            <v>111</v>
          </cell>
          <cell r="D18" t="str">
            <v>-  OIL IMMERSED TRANS. 1,500 KVA.</v>
          </cell>
          <cell r="E18">
            <v>680000</v>
          </cell>
          <cell r="F18">
            <v>6500</v>
          </cell>
          <cell r="G18" t="str">
            <v>SET</v>
          </cell>
        </row>
        <row r="19">
          <cell r="C19">
            <v>112</v>
          </cell>
          <cell r="D19" t="str">
            <v>-  OIL IMMERSED TRANS. 2,000 KVA.</v>
          </cell>
          <cell r="E19">
            <v>855000</v>
          </cell>
          <cell r="F19">
            <v>7000</v>
          </cell>
          <cell r="G19" t="str">
            <v>SET</v>
          </cell>
        </row>
        <row r="20">
          <cell r="C20">
            <v>113</v>
          </cell>
          <cell r="D20" t="str">
            <v>-  OIL IMMERSED TRANS. 2,500 KVA.</v>
          </cell>
          <cell r="E20">
            <v>1046000</v>
          </cell>
          <cell r="F20">
            <v>7500</v>
          </cell>
          <cell r="G20" t="str">
            <v>SET</v>
          </cell>
        </row>
        <row r="21">
          <cell r="C21">
            <v>114</v>
          </cell>
          <cell r="D21" t="str">
            <v>-  OIL IMMERSED TRANS. 3,000 KVA.</v>
          </cell>
          <cell r="E21">
            <v>1256000</v>
          </cell>
          <cell r="F21">
            <v>8500</v>
          </cell>
          <cell r="G21" t="str">
            <v>SET</v>
          </cell>
        </row>
        <row r="22">
          <cell r="C22">
            <v>122</v>
          </cell>
          <cell r="D22" t="str">
            <v>22 - 24 KV หรือ 11 - 12 KV. OIL IMMERSED TRANS</v>
          </cell>
          <cell r="E22">
            <v>38000</v>
          </cell>
          <cell r="F22">
            <v>0</v>
          </cell>
          <cell r="G22" t="str">
            <v>EA.</v>
          </cell>
        </row>
        <row r="23">
          <cell r="C23">
            <v>115</v>
          </cell>
          <cell r="D23" t="str">
            <v>-  OIL IMMERSED TRANS. 100 KVA.</v>
          </cell>
          <cell r="E23">
            <v>104000</v>
          </cell>
          <cell r="F23">
            <v>2500</v>
          </cell>
          <cell r="G23" t="str">
            <v>SET</v>
          </cell>
        </row>
        <row r="24">
          <cell r="C24">
            <v>116</v>
          </cell>
          <cell r="D24" t="str">
            <v>-  OIL IMMERSED TRANS. 160 KVA.</v>
          </cell>
          <cell r="E24">
            <v>131000</v>
          </cell>
          <cell r="F24">
            <v>2500</v>
          </cell>
          <cell r="G24" t="str">
            <v>SET</v>
          </cell>
        </row>
        <row r="25">
          <cell r="C25">
            <v>117</v>
          </cell>
          <cell r="D25" t="str">
            <v>-  OIL IMMERSED TRANS. 200 KVA.</v>
          </cell>
          <cell r="E25">
            <v>154000</v>
          </cell>
          <cell r="F25">
            <v>2500</v>
          </cell>
          <cell r="G25" t="str">
            <v>SET</v>
          </cell>
        </row>
        <row r="26">
          <cell r="C26">
            <v>118</v>
          </cell>
          <cell r="D26" t="str">
            <v>-  OIL IMMERSED TRANS. 250 KVA.</v>
          </cell>
          <cell r="E26">
            <v>171000</v>
          </cell>
          <cell r="F26">
            <v>3000</v>
          </cell>
          <cell r="G26" t="str">
            <v>SET</v>
          </cell>
        </row>
        <row r="27">
          <cell r="C27">
            <v>119</v>
          </cell>
          <cell r="D27" t="str">
            <v>-  OIL IMMERSED TRANS. 315 KVA.</v>
          </cell>
          <cell r="E27">
            <v>227500</v>
          </cell>
          <cell r="F27">
            <v>3000</v>
          </cell>
          <cell r="G27" t="str">
            <v>SET</v>
          </cell>
        </row>
        <row r="28">
          <cell r="C28">
            <v>120</v>
          </cell>
          <cell r="D28" t="str">
            <v>-  OIL IMMERSED TRANS. 400 KVA.</v>
          </cell>
          <cell r="E28">
            <v>262000</v>
          </cell>
          <cell r="F28">
            <v>3000</v>
          </cell>
          <cell r="G28" t="str">
            <v>SET</v>
          </cell>
        </row>
        <row r="29">
          <cell r="C29">
            <v>121</v>
          </cell>
          <cell r="D29" t="str">
            <v>-  OIL IMMERSED TRANS. 500 KVA.</v>
          </cell>
          <cell r="E29">
            <v>289000</v>
          </cell>
          <cell r="F29">
            <v>3000</v>
          </cell>
          <cell r="G29" t="str">
            <v>SET</v>
          </cell>
        </row>
        <row r="30">
          <cell r="C30">
            <v>122</v>
          </cell>
          <cell r="D30" t="str">
            <v>-  OIL IMMERSED TRANS. 630 KVA.</v>
          </cell>
          <cell r="E30">
            <v>323000</v>
          </cell>
          <cell r="F30">
            <v>5000</v>
          </cell>
          <cell r="G30" t="str">
            <v>SET</v>
          </cell>
        </row>
        <row r="31">
          <cell r="C31">
            <v>123</v>
          </cell>
          <cell r="D31" t="str">
            <v>-  OIL IMMERSED TRANS. 800 KVA.</v>
          </cell>
          <cell r="E31">
            <v>402000</v>
          </cell>
          <cell r="F31">
            <v>5000</v>
          </cell>
          <cell r="G31" t="str">
            <v>SET</v>
          </cell>
        </row>
        <row r="32">
          <cell r="C32">
            <v>124</v>
          </cell>
          <cell r="D32" t="str">
            <v>-  OIL IMMERSED TRANS. 1,000 KVA.</v>
          </cell>
          <cell r="E32">
            <v>480000</v>
          </cell>
          <cell r="F32">
            <v>6000</v>
          </cell>
          <cell r="G32" t="str">
            <v>SET</v>
          </cell>
        </row>
        <row r="33">
          <cell r="C33">
            <v>125</v>
          </cell>
          <cell r="D33" t="str">
            <v>-  OIL IMMERSED TRANS. 1,250 KVA.</v>
          </cell>
          <cell r="E33">
            <v>542000</v>
          </cell>
          <cell r="F33">
            <v>6000</v>
          </cell>
          <cell r="G33" t="str">
            <v>SET</v>
          </cell>
        </row>
        <row r="34">
          <cell r="C34">
            <v>126</v>
          </cell>
          <cell r="D34" t="str">
            <v>-  OIL IMMERSED TRANS. 1,600 KVA.</v>
          </cell>
          <cell r="E34">
            <v>629000</v>
          </cell>
          <cell r="F34">
            <v>6000</v>
          </cell>
          <cell r="G34" t="str">
            <v>SET</v>
          </cell>
        </row>
        <row r="35">
          <cell r="C35">
            <v>127</v>
          </cell>
          <cell r="D35" t="str">
            <v>-  OIL IMMERSED TRANS. 2,000 KVA.</v>
          </cell>
          <cell r="E35">
            <v>785000</v>
          </cell>
          <cell r="F35">
            <v>7000</v>
          </cell>
          <cell r="G35" t="str">
            <v>SET</v>
          </cell>
        </row>
        <row r="36">
          <cell r="C36">
            <v>128</v>
          </cell>
          <cell r="D36" t="str">
            <v>-  OIL IMMERSED TRANS. 2,500 KVA.</v>
          </cell>
          <cell r="E36">
            <v>959000</v>
          </cell>
          <cell r="F36">
            <v>7000</v>
          </cell>
          <cell r="G36" t="str">
            <v>SET</v>
          </cell>
        </row>
        <row r="37">
          <cell r="C37">
            <v>129</v>
          </cell>
          <cell r="D37" t="str">
            <v>-  OIL IMMERSED TRANS. 3,150 KVA.</v>
          </cell>
          <cell r="E37">
            <v>1133000</v>
          </cell>
          <cell r="F37">
            <v>8000</v>
          </cell>
          <cell r="G37" t="str">
            <v>SET</v>
          </cell>
        </row>
        <row r="38">
          <cell r="C38">
            <v>2</v>
          </cell>
          <cell r="D38" t="str">
            <v>DRY TYPE CAST RESIN TRANSFORMER</v>
          </cell>
          <cell r="E38">
            <v>70000</v>
          </cell>
          <cell r="F38">
            <v>0</v>
          </cell>
          <cell r="G38" t="str">
            <v>EA.</v>
          </cell>
        </row>
        <row r="39">
          <cell r="C39">
            <v>145</v>
          </cell>
          <cell r="D39" t="str">
            <v>22 - 24 KV OR 11 - 12 KV.  CAST RESIN TRANS</v>
          </cell>
          <cell r="E39">
            <v>80000</v>
          </cell>
          <cell r="F39">
            <v>0</v>
          </cell>
          <cell r="G39" t="str">
            <v>EA.</v>
          </cell>
        </row>
        <row r="40">
          <cell r="C40">
            <v>201</v>
          </cell>
          <cell r="D40" t="str">
            <v>-  CAST RESIN TRANS. 100 KVA.</v>
          </cell>
          <cell r="E40">
            <v>180000</v>
          </cell>
          <cell r="F40">
            <v>7000</v>
          </cell>
          <cell r="G40" t="str">
            <v>SET</v>
          </cell>
        </row>
        <row r="41">
          <cell r="C41">
            <v>202</v>
          </cell>
          <cell r="D41" t="str">
            <v>-  CAST RESIN TRANS. 160 KVA.</v>
          </cell>
          <cell r="E41">
            <v>243000</v>
          </cell>
          <cell r="F41">
            <v>7000</v>
          </cell>
          <cell r="G41" t="str">
            <v>SET</v>
          </cell>
        </row>
        <row r="42">
          <cell r="C42">
            <v>203</v>
          </cell>
          <cell r="D42" t="str">
            <v>-  CAST RESIN TRANS. 250 KVA.</v>
          </cell>
          <cell r="E42">
            <v>304000</v>
          </cell>
          <cell r="F42">
            <v>8000</v>
          </cell>
          <cell r="G42" t="str">
            <v>SET</v>
          </cell>
        </row>
        <row r="43">
          <cell r="C43">
            <v>204</v>
          </cell>
          <cell r="D43" t="str">
            <v>-  CAST RESIN TRANS. 315 KVA.</v>
          </cell>
          <cell r="E43">
            <v>342000</v>
          </cell>
          <cell r="F43">
            <v>8000</v>
          </cell>
          <cell r="G43" t="str">
            <v>SET</v>
          </cell>
        </row>
        <row r="44">
          <cell r="C44">
            <v>205</v>
          </cell>
          <cell r="D44" t="str">
            <v>-  CAST RESIN TRANS. 400 KVA.</v>
          </cell>
          <cell r="E44">
            <v>410000</v>
          </cell>
          <cell r="F44">
            <v>10000</v>
          </cell>
          <cell r="G44" t="str">
            <v>SET</v>
          </cell>
        </row>
        <row r="45">
          <cell r="C45">
            <v>206</v>
          </cell>
          <cell r="D45" t="str">
            <v>-  CAST RESIN TRANS. 500 KVA.</v>
          </cell>
          <cell r="E45">
            <v>486000</v>
          </cell>
          <cell r="F45">
            <v>10000</v>
          </cell>
          <cell r="G45" t="str">
            <v>SET</v>
          </cell>
        </row>
        <row r="46">
          <cell r="C46">
            <v>207</v>
          </cell>
          <cell r="D46" t="str">
            <v>-  CAST RESIN TRANS. 630 KVA.</v>
          </cell>
          <cell r="E46">
            <v>574000</v>
          </cell>
          <cell r="F46">
            <v>12000</v>
          </cell>
          <cell r="G46" t="str">
            <v>SET</v>
          </cell>
        </row>
        <row r="47">
          <cell r="C47">
            <v>208</v>
          </cell>
          <cell r="D47" t="str">
            <v>-  CAST RESIN TRANS. 800 KVA.</v>
          </cell>
          <cell r="E47">
            <v>673000</v>
          </cell>
          <cell r="F47">
            <v>12000</v>
          </cell>
          <cell r="G47" t="str">
            <v>SET</v>
          </cell>
        </row>
        <row r="48">
          <cell r="C48">
            <v>209</v>
          </cell>
          <cell r="D48" t="str">
            <v>-  CAST RESIN TRANS. 1,000 KVA.</v>
          </cell>
          <cell r="E48">
            <v>830000</v>
          </cell>
          <cell r="F48">
            <v>15000</v>
          </cell>
          <cell r="G48" t="str">
            <v>SET</v>
          </cell>
        </row>
        <row r="49">
          <cell r="C49">
            <v>210</v>
          </cell>
          <cell r="D49" t="str">
            <v>-  CAST RESIN TRANS. 1,250 KVA.</v>
          </cell>
          <cell r="E49">
            <v>991000</v>
          </cell>
          <cell r="F49">
            <v>15000</v>
          </cell>
          <cell r="G49" t="str">
            <v>SET</v>
          </cell>
        </row>
        <row r="50">
          <cell r="C50">
            <v>211</v>
          </cell>
          <cell r="D50" t="str">
            <v>-  CAST RESIN TRANS. 1,600 KVA.</v>
          </cell>
          <cell r="E50">
            <v>1137000</v>
          </cell>
          <cell r="F50">
            <v>15000</v>
          </cell>
          <cell r="G50" t="str">
            <v>SET</v>
          </cell>
        </row>
        <row r="51">
          <cell r="C51">
            <v>212</v>
          </cell>
          <cell r="D51" t="str">
            <v>-  CAST RESIN TRANS. 2,000 KVA.</v>
          </cell>
          <cell r="E51">
            <v>1425000</v>
          </cell>
          <cell r="F51">
            <v>18000</v>
          </cell>
          <cell r="G51" t="str">
            <v>SET</v>
          </cell>
        </row>
        <row r="52">
          <cell r="C52">
            <v>213</v>
          </cell>
          <cell r="D52" t="str">
            <v>-  CAST RESIN TRANS. 2,500 KVA.</v>
          </cell>
          <cell r="E52">
            <v>1700000</v>
          </cell>
          <cell r="F52">
            <v>20000</v>
          </cell>
          <cell r="G52" t="str">
            <v>SET</v>
          </cell>
        </row>
        <row r="53">
          <cell r="C53">
            <v>214</v>
          </cell>
          <cell r="D53" t="str">
            <v>-  CAST RESIN TRANS. 3,000 KVA.</v>
          </cell>
          <cell r="E53">
            <v>1902000</v>
          </cell>
          <cell r="F53">
            <v>22000</v>
          </cell>
          <cell r="G53" t="str">
            <v>SET</v>
          </cell>
        </row>
        <row r="54">
          <cell r="C54">
            <v>307</v>
          </cell>
          <cell r="D54" t="str">
            <v>SPACE</v>
          </cell>
          <cell r="E54">
            <v>300000</v>
          </cell>
          <cell r="F54">
            <v>0</v>
          </cell>
          <cell r="G54" t="str">
            <v>EA.</v>
          </cell>
        </row>
        <row r="55">
          <cell r="C55">
            <v>3</v>
          </cell>
          <cell r="D55" t="str">
            <v>PAD MOUNTED TRANSFORMER</v>
          </cell>
          <cell r="E55">
            <v>300000</v>
          </cell>
          <cell r="F55">
            <v>0</v>
          </cell>
          <cell r="G55" t="str">
            <v>EA.</v>
          </cell>
        </row>
        <row r="56">
          <cell r="C56">
            <v>309</v>
          </cell>
          <cell r="D56" t="str">
            <v>11 - 12 OR 22 - 24 KA. PAD MOUNTED TRANS</v>
          </cell>
          <cell r="E56">
            <v>300000</v>
          </cell>
          <cell r="F56">
            <v>0</v>
          </cell>
          <cell r="G56" t="str">
            <v>EA.</v>
          </cell>
        </row>
        <row r="57">
          <cell r="C57">
            <v>301</v>
          </cell>
          <cell r="D57" t="str">
            <v>-  PAD MOUNTED TRANS. 100 KVA.</v>
          </cell>
          <cell r="E57">
            <v>100000</v>
          </cell>
          <cell r="F57">
            <v>2500</v>
          </cell>
          <cell r="G57" t="str">
            <v>SET</v>
          </cell>
        </row>
        <row r="58">
          <cell r="C58">
            <v>302</v>
          </cell>
          <cell r="D58" t="str">
            <v>-  PAD MOUNTED TRANS. 160 KVA.</v>
          </cell>
          <cell r="E58">
            <v>131000</v>
          </cell>
          <cell r="F58">
            <v>2500</v>
          </cell>
          <cell r="G58" t="str">
            <v>SET</v>
          </cell>
        </row>
        <row r="59">
          <cell r="C59">
            <v>303</v>
          </cell>
          <cell r="D59" t="str">
            <v>-  PAD MOUNTED TRANS. 250 KVA.</v>
          </cell>
          <cell r="E59">
            <v>165000</v>
          </cell>
          <cell r="F59">
            <v>2500</v>
          </cell>
          <cell r="G59" t="str">
            <v>SET</v>
          </cell>
        </row>
        <row r="60">
          <cell r="C60">
            <v>304</v>
          </cell>
          <cell r="D60" t="str">
            <v>-  PAD MOUNTED TRANS. 315 KVA.</v>
          </cell>
          <cell r="E60">
            <v>185000</v>
          </cell>
          <cell r="F60">
            <v>3000</v>
          </cell>
          <cell r="G60" t="str">
            <v>SET</v>
          </cell>
        </row>
        <row r="61">
          <cell r="C61">
            <v>305</v>
          </cell>
          <cell r="D61" t="str">
            <v>-  PAD MOUNTED TRANS. 400 KVA.</v>
          </cell>
          <cell r="E61">
            <v>222000</v>
          </cell>
          <cell r="F61">
            <v>3000</v>
          </cell>
          <cell r="G61" t="str">
            <v>SET</v>
          </cell>
        </row>
        <row r="62">
          <cell r="C62">
            <v>306</v>
          </cell>
          <cell r="D62" t="str">
            <v>-  PAD MOUNTED TRANS. 500 KVA.</v>
          </cell>
          <cell r="E62">
            <v>263000</v>
          </cell>
          <cell r="F62">
            <v>3000</v>
          </cell>
          <cell r="G62" t="str">
            <v>SET</v>
          </cell>
        </row>
        <row r="63">
          <cell r="C63">
            <v>307</v>
          </cell>
          <cell r="D63" t="str">
            <v>-  PAD MOUNTED TRANS. 630 KVA.</v>
          </cell>
          <cell r="E63">
            <v>311000</v>
          </cell>
          <cell r="F63">
            <v>5000</v>
          </cell>
          <cell r="G63" t="str">
            <v>SET</v>
          </cell>
        </row>
        <row r="64">
          <cell r="C64">
            <v>308</v>
          </cell>
          <cell r="D64" t="str">
            <v>-  PAD MOUNTED TRANS. 800 KVA.</v>
          </cell>
          <cell r="E64">
            <v>364000</v>
          </cell>
          <cell r="F64">
            <v>5000</v>
          </cell>
          <cell r="G64" t="str">
            <v>SET</v>
          </cell>
        </row>
        <row r="65">
          <cell r="C65">
            <v>309</v>
          </cell>
          <cell r="D65" t="str">
            <v>-  PAD MOUNTED TRANS. 1,000 KVA.</v>
          </cell>
          <cell r="E65">
            <v>450000</v>
          </cell>
          <cell r="F65">
            <v>6000</v>
          </cell>
          <cell r="G65" t="str">
            <v>SET</v>
          </cell>
        </row>
        <row r="66">
          <cell r="C66">
            <v>310</v>
          </cell>
          <cell r="D66" t="str">
            <v>-  PAD MOUNTED TRANS. 1,250 KVA.</v>
          </cell>
          <cell r="E66">
            <v>537000</v>
          </cell>
          <cell r="F66">
            <v>6000</v>
          </cell>
          <cell r="G66" t="str">
            <v>SET</v>
          </cell>
        </row>
        <row r="67">
          <cell r="C67">
            <v>311</v>
          </cell>
          <cell r="D67" t="str">
            <v>-  PAD MOUNTED TRANS. 1,500 KVA.</v>
          </cell>
          <cell r="E67">
            <v>616000</v>
          </cell>
          <cell r="F67">
            <v>6000</v>
          </cell>
          <cell r="G67" t="str">
            <v>SET</v>
          </cell>
        </row>
        <row r="68">
          <cell r="C68">
            <v>312</v>
          </cell>
          <cell r="D68" t="str">
            <v>-  PAD MOUNTED TRANS. 2,000 KVA.</v>
          </cell>
          <cell r="E68">
            <v>772000</v>
          </cell>
          <cell r="F68">
            <v>7000</v>
          </cell>
          <cell r="G68" t="str">
            <v>SET</v>
          </cell>
        </row>
        <row r="69">
          <cell r="C69">
            <v>313</v>
          </cell>
          <cell r="D69" t="str">
            <v>-  PAD MOUNTED TRANS. 2,500 KVA.</v>
          </cell>
          <cell r="E69">
            <v>921000</v>
          </cell>
          <cell r="F69">
            <v>7000</v>
          </cell>
          <cell r="G69" t="str">
            <v>SET</v>
          </cell>
        </row>
        <row r="70">
          <cell r="C70">
            <v>314</v>
          </cell>
          <cell r="D70" t="str">
            <v>-  PAD MOUNTED TRANS. 3,000 KVA.</v>
          </cell>
          <cell r="E70">
            <v>1030000</v>
          </cell>
          <cell r="F70">
            <v>8000</v>
          </cell>
          <cell r="G70" t="str">
            <v>SET</v>
          </cell>
        </row>
        <row r="71">
          <cell r="C71">
            <v>332</v>
          </cell>
          <cell r="D71" t="str">
            <v>OIL IMMERSED TRANSFORMER</v>
          </cell>
          <cell r="E71">
            <v>440000</v>
          </cell>
          <cell r="F71">
            <v>0</v>
          </cell>
          <cell r="G71" t="str">
            <v>EA.</v>
          </cell>
        </row>
        <row r="72">
          <cell r="C72">
            <v>333</v>
          </cell>
          <cell r="D72" t="str">
            <v>33 KA. PAD MOUNTED TRANS</v>
          </cell>
          <cell r="E72">
            <v>1000000</v>
          </cell>
          <cell r="F72">
            <v>0</v>
          </cell>
          <cell r="G72" t="str">
            <v>EA.</v>
          </cell>
        </row>
        <row r="73">
          <cell r="C73">
            <v>315</v>
          </cell>
          <cell r="D73" t="str">
            <v>-  PAD MOUNTED TRANS. 100 KVA.</v>
          </cell>
          <cell r="E73">
            <v>106000</v>
          </cell>
          <cell r="F73">
            <v>2500</v>
          </cell>
          <cell r="G73" t="str">
            <v>SET</v>
          </cell>
        </row>
        <row r="74">
          <cell r="C74">
            <v>316</v>
          </cell>
          <cell r="D74" t="str">
            <v>-  PAD MOUNTED TRANS. 160 KVA.</v>
          </cell>
          <cell r="E74">
            <v>139000</v>
          </cell>
          <cell r="F74">
            <v>2500</v>
          </cell>
          <cell r="G74" t="str">
            <v>SET</v>
          </cell>
        </row>
        <row r="75">
          <cell r="C75">
            <v>317</v>
          </cell>
          <cell r="D75" t="str">
            <v>-  PAD MOUNTED TRANS. 250 KVA.</v>
          </cell>
          <cell r="E75">
            <v>176000</v>
          </cell>
          <cell r="F75">
            <v>2500</v>
          </cell>
          <cell r="G75" t="str">
            <v>SET</v>
          </cell>
        </row>
        <row r="76">
          <cell r="C76">
            <v>318</v>
          </cell>
          <cell r="D76" t="str">
            <v>-  PAD MOUNTED TRANS. 315 KVA.</v>
          </cell>
          <cell r="E76">
            <v>197000</v>
          </cell>
          <cell r="F76">
            <v>3000</v>
          </cell>
          <cell r="G76" t="str">
            <v>SET</v>
          </cell>
        </row>
        <row r="77">
          <cell r="C77">
            <v>319</v>
          </cell>
          <cell r="D77" t="str">
            <v>-  PAD MOUNTED TRANS. 400 KVA.</v>
          </cell>
          <cell r="E77">
            <v>237000</v>
          </cell>
          <cell r="F77">
            <v>3000</v>
          </cell>
          <cell r="G77" t="str">
            <v>SET</v>
          </cell>
        </row>
        <row r="78">
          <cell r="C78">
            <v>320</v>
          </cell>
          <cell r="D78" t="str">
            <v>-  PAD MOUNTED TRANS. 500 KVA.</v>
          </cell>
          <cell r="E78">
            <v>280000</v>
          </cell>
          <cell r="F78">
            <v>3000</v>
          </cell>
          <cell r="G78" t="str">
            <v>SET</v>
          </cell>
        </row>
        <row r="79">
          <cell r="C79">
            <v>321</v>
          </cell>
          <cell r="D79" t="str">
            <v>-  PAD MOUNTED TRANS. 630 KVA.</v>
          </cell>
          <cell r="E79">
            <v>331000</v>
          </cell>
          <cell r="F79">
            <v>5000</v>
          </cell>
          <cell r="G79" t="str">
            <v>SET</v>
          </cell>
        </row>
        <row r="80">
          <cell r="C80">
            <v>322</v>
          </cell>
          <cell r="D80" t="str">
            <v>-  PAD MOUNTED TRANS. 800 KVA.</v>
          </cell>
          <cell r="E80">
            <v>388000</v>
          </cell>
          <cell r="F80">
            <v>5000</v>
          </cell>
          <cell r="G80" t="str">
            <v>SET</v>
          </cell>
        </row>
        <row r="81">
          <cell r="C81">
            <v>323</v>
          </cell>
          <cell r="D81" t="str">
            <v>-  PAD MOUNTED TRANS. 1,000 KVA.</v>
          </cell>
          <cell r="E81">
            <v>480000</v>
          </cell>
          <cell r="F81">
            <v>6000</v>
          </cell>
          <cell r="G81" t="str">
            <v>SET</v>
          </cell>
        </row>
        <row r="82">
          <cell r="C82">
            <v>324</v>
          </cell>
          <cell r="D82" t="str">
            <v>-  PAD MOUNTED TRANS. 1,250 KVA.</v>
          </cell>
          <cell r="E82">
            <v>572000</v>
          </cell>
          <cell r="F82">
            <v>6000</v>
          </cell>
          <cell r="G82" t="str">
            <v>SET</v>
          </cell>
        </row>
        <row r="83">
          <cell r="C83">
            <v>325</v>
          </cell>
          <cell r="D83" t="str">
            <v>-  PAD MOUNTED TRANS. 1,500 KVA.</v>
          </cell>
          <cell r="E83">
            <v>657000</v>
          </cell>
          <cell r="F83">
            <v>6500</v>
          </cell>
          <cell r="G83" t="str">
            <v>SET</v>
          </cell>
        </row>
        <row r="84">
          <cell r="C84">
            <v>326</v>
          </cell>
          <cell r="D84" t="str">
            <v>-  PAD MOUNTED TRANS. 2,000 KVA.</v>
          </cell>
          <cell r="E84">
            <v>823000</v>
          </cell>
          <cell r="F84">
            <v>7000</v>
          </cell>
          <cell r="G84" t="str">
            <v>SET</v>
          </cell>
        </row>
        <row r="85">
          <cell r="C85">
            <v>327</v>
          </cell>
          <cell r="D85" t="str">
            <v>-  PAD MOUNTED TRANS. 2,500 KVA.</v>
          </cell>
          <cell r="E85">
            <v>982000</v>
          </cell>
          <cell r="F85">
            <v>7500</v>
          </cell>
          <cell r="G85" t="str">
            <v>SET</v>
          </cell>
        </row>
        <row r="86">
          <cell r="C86">
            <v>328</v>
          </cell>
          <cell r="D86" t="str">
            <v>-  PAD MOUNTED TRANS. 3,000 KVA.</v>
          </cell>
          <cell r="E86">
            <v>1110000</v>
          </cell>
          <cell r="F86">
            <v>8500</v>
          </cell>
          <cell r="G86" t="str">
            <v>SET</v>
          </cell>
        </row>
        <row r="87">
          <cell r="C87">
            <v>4</v>
          </cell>
          <cell r="D87" t="str">
            <v>GENERATOR SET</v>
          </cell>
          <cell r="E87">
            <v>2800</v>
          </cell>
          <cell r="F87">
            <v>0</v>
          </cell>
          <cell r="G87" t="str">
            <v>EA.</v>
          </cell>
        </row>
        <row r="88">
          <cell r="C88">
            <v>401</v>
          </cell>
          <cell r="D88" t="str">
            <v>-  GEN. SET 35 KVA. (PRIME)</v>
          </cell>
          <cell r="E88">
            <v>456000</v>
          </cell>
          <cell r="F88">
            <v>8000</v>
          </cell>
          <cell r="G88" t="str">
            <v>SET</v>
          </cell>
        </row>
        <row r="89">
          <cell r="C89">
            <v>402</v>
          </cell>
          <cell r="D89" t="str">
            <v>-  GEN. SET 50 KVA. (PRIME)</v>
          </cell>
          <cell r="E89">
            <v>546000</v>
          </cell>
          <cell r="F89">
            <v>8000</v>
          </cell>
          <cell r="G89" t="str">
            <v>SET</v>
          </cell>
        </row>
        <row r="90">
          <cell r="C90">
            <v>403</v>
          </cell>
          <cell r="D90" t="str">
            <v>-  GEN. SET 60 KVA. (PRIME)</v>
          </cell>
          <cell r="E90">
            <v>592000</v>
          </cell>
          <cell r="F90">
            <v>1000</v>
          </cell>
          <cell r="G90" t="str">
            <v>SET</v>
          </cell>
        </row>
        <row r="91">
          <cell r="C91">
            <v>404</v>
          </cell>
          <cell r="D91" t="str">
            <v>-  GEN. SET 80 KVA. (PRIME)</v>
          </cell>
          <cell r="E91">
            <v>600000</v>
          </cell>
          <cell r="F91">
            <v>1000</v>
          </cell>
          <cell r="G91" t="str">
            <v>SET</v>
          </cell>
        </row>
        <row r="92">
          <cell r="C92">
            <v>405</v>
          </cell>
          <cell r="D92" t="str">
            <v>-  GEN. SET 100 KVA. (PRIME)</v>
          </cell>
          <cell r="E92">
            <v>683000</v>
          </cell>
          <cell r="F92">
            <v>15000</v>
          </cell>
          <cell r="G92" t="str">
            <v>SET</v>
          </cell>
        </row>
        <row r="93">
          <cell r="C93">
            <v>406</v>
          </cell>
          <cell r="D93" t="str">
            <v>-  GEN. SET 130 KVA. (PRIME)</v>
          </cell>
          <cell r="E93">
            <v>900000</v>
          </cell>
          <cell r="F93">
            <v>15000</v>
          </cell>
          <cell r="G93" t="str">
            <v>SET</v>
          </cell>
        </row>
        <row r="94">
          <cell r="C94">
            <v>407</v>
          </cell>
          <cell r="D94" t="str">
            <v>-  GEN. SET 170 KVA. (PRIME)</v>
          </cell>
          <cell r="E94">
            <v>1100000</v>
          </cell>
          <cell r="F94">
            <v>20000</v>
          </cell>
          <cell r="G94" t="str">
            <v>SET</v>
          </cell>
        </row>
        <row r="95">
          <cell r="C95">
            <v>408</v>
          </cell>
          <cell r="D95" t="str">
            <v>-  GEN. SET 200 KVA. (PRIME)</v>
          </cell>
          <cell r="E95">
            <v>1200000</v>
          </cell>
          <cell r="F95">
            <v>20000</v>
          </cell>
          <cell r="G95" t="str">
            <v>SET</v>
          </cell>
        </row>
        <row r="96">
          <cell r="C96">
            <v>409</v>
          </cell>
          <cell r="D96" t="str">
            <v>-  GEN. SET 230 KVA. (PRIME)</v>
          </cell>
          <cell r="E96">
            <v>1350000</v>
          </cell>
          <cell r="F96">
            <v>20000</v>
          </cell>
          <cell r="G96" t="str">
            <v>SET</v>
          </cell>
        </row>
        <row r="97">
          <cell r="C97">
            <v>410</v>
          </cell>
          <cell r="D97" t="str">
            <v>-  GEN. SET 250 KVA. (PRIME)</v>
          </cell>
          <cell r="E97">
            <v>1350000</v>
          </cell>
          <cell r="F97">
            <v>25000</v>
          </cell>
          <cell r="G97" t="str">
            <v>SET</v>
          </cell>
        </row>
        <row r="98">
          <cell r="C98">
            <v>411</v>
          </cell>
          <cell r="D98" t="str">
            <v>-  GEN. SET 300 KVA. (PRIME)</v>
          </cell>
          <cell r="E98">
            <v>1514000</v>
          </cell>
          <cell r="F98">
            <v>25000</v>
          </cell>
          <cell r="G98" t="str">
            <v>SET</v>
          </cell>
        </row>
        <row r="99">
          <cell r="C99">
            <v>412</v>
          </cell>
          <cell r="D99" t="str">
            <v>-  GEN. SET 320 KVA. (PRIME)</v>
          </cell>
          <cell r="E99">
            <v>1600000</v>
          </cell>
          <cell r="F99">
            <v>25000</v>
          </cell>
          <cell r="G99" t="str">
            <v>SET</v>
          </cell>
        </row>
        <row r="100">
          <cell r="C100">
            <v>413</v>
          </cell>
          <cell r="D100" t="str">
            <v>-  GEN. SET 360 KVA. (PRIME)</v>
          </cell>
          <cell r="E100">
            <v>1884000</v>
          </cell>
          <cell r="F100">
            <v>25000</v>
          </cell>
          <cell r="G100" t="str">
            <v>SET</v>
          </cell>
        </row>
        <row r="101">
          <cell r="C101">
            <v>414</v>
          </cell>
          <cell r="D101" t="str">
            <v>-  GEN. SET 380 KVA. (PRIME)</v>
          </cell>
          <cell r="E101">
            <v>1950000</v>
          </cell>
          <cell r="F101">
            <v>25000</v>
          </cell>
          <cell r="G101" t="str">
            <v>SET</v>
          </cell>
        </row>
        <row r="102">
          <cell r="C102">
            <v>415</v>
          </cell>
          <cell r="D102" t="str">
            <v>-  GEN. SET 450 KVA. (PRIME)</v>
          </cell>
          <cell r="E102">
            <v>2000000</v>
          </cell>
          <cell r="F102">
            <v>30000</v>
          </cell>
          <cell r="G102" t="str">
            <v>SET</v>
          </cell>
        </row>
        <row r="103">
          <cell r="C103">
            <v>416</v>
          </cell>
          <cell r="D103" t="str">
            <v>-  GEN. SET 500 KVA. (PRIME)</v>
          </cell>
          <cell r="E103">
            <v>2190000</v>
          </cell>
          <cell r="F103">
            <v>30000</v>
          </cell>
          <cell r="G103" t="str">
            <v>SET</v>
          </cell>
        </row>
        <row r="104">
          <cell r="C104">
            <v>417</v>
          </cell>
          <cell r="D104" t="str">
            <v>-  GEN. SET 650 KVA. (PRIME)</v>
          </cell>
          <cell r="E104">
            <v>2897000</v>
          </cell>
          <cell r="F104">
            <v>30000</v>
          </cell>
          <cell r="G104" t="str">
            <v>SET</v>
          </cell>
        </row>
        <row r="105">
          <cell r="C105">
            <v>418</v>
          </cell>
          <cell r="D105" t="str">
            <v>-  GEN. SET 720 KVA. (PRIME)</v>
          </cell>
          <cell r="E105">
            <v>3200000</v>
          </cell>
          <cell r="F105">
            <v>35000</v>
          </cell>
          <cell r="G105" t="str">
            <v>SET</v>
          </cell>
        </row>
        <row r="106">
          <cell r="C106">
            <v>419</v>
          </cell>
          <cell r="D106" t="str">
            <v>-  GEN. SET 760 KVA. (PRIME)</v>
          </cell>
          <cell r="E106">
            <v>3700000</v>
          </cell>
          <cell r="F106">
            <v>35000</v>
          </cell>
          <cell r="G106" t="str">
            <v>SET</v>
          </cell>
        </row>
        <row r="107">
          <cell r="C107">
            <v>420</v>
          </cell>
          <cell r="D107" t="str">
            <v>-  GEN. SET 720 KVA. (PRIME)</v>
          </cell>
          <cell r="E107">
            <v>3963000</v>
          </cell>
          <cell r="F107">
            <v>40000</v>
          </cell>
          <cell r="G107" t="str">
            <v>SET</v>
          </cell>
        </row>
        <row r="108">
          <cell r="C108">
            <v>421</v>
          </cell>
          <cell r="D108" t="str">
            <v>-  GEN. SET 1,000 KVA. (PRIME)</v>
          </cell>
          <cell r="E108">
            <v>4683000</v>
          </cell>
          <cell r="F108">
            <v>45000</v>
          </cell>
          <cell r="G108" t="str">
            <v>SET</v>
          </cell>
        </row>
        <row r="109">
          <cell r="C109">
            <v>422</v>
          </cell>
          <cell r="D109" t="str">
            <v>-  GEN. SET 1,250 KVA. (PRIME)</v>
          </cell>
          <cell r="E109">
            <v>5400000</v>
          </cell>
          <cell r="F109">
            <v>50000</v>
          </cell>
          <cell r="G109" t="str">
            <v>SET</v>
          </cell>
        </row>
        <row r="110">
          <cell r="C110">
            <v>423</v>
          </cell>
          <cell r="D110" t="str">
            <v>-  GEN. SET 1,375 KVA. (PRIME)</v>
          </cell>
          <cell r="E110">
            <v>6330000</v>
          </cell>
          <cell r="F110">
            <v>50000</v>
          </cell>
          <cell r="G110" t="str">
            <v>SET</v>
          </cell>
        </row>
        <row r="111">
          <cell r="C111">
            <v>605</v>
          </cell>
          <cell r="D111" t="str">
            <v>SPACE</v>
          </cell>
          <cell r="E111">
            <v>130000</v>
          </cell>
          <cell r="F111">
            <v>0</v>
          </cell>
          <cell r="G111" t="str">
            <v>EA.</v>
          </cell>
        </row>
        <row r="112">
          <cell r="C112">
            <v>431</v>
          </cell>
          <cell r="D112" t="str">
            <v>-  GEN. SET 30 KVA. (STAND-BY)</v>
          </cell>
          <cell r="E112">
            <v>411000</v>
          </cell>
          <cell r="F112">
            <v>6000</v>
          </cell>
          <cell r="G112" t="str">
            <v>SET</v>
          </cell>
        </row>
        <row r="113">
          <cell r="C113">
            <v>432</v>
          </cell>
          <cell r="D113" t="str">
            <v>-  GEN. SET 45 KVA. (STAND-BY)</v>
          </cell>
          <cell r="E113">
            <v>456000</v>
          </cell>
          <cell r="F113">
            <v>6000</v>
          </cell>
          <cell r="G113" t="str">
            <v>SET</v>
          </cell>
        </row>
        <row r="114">
          <cell r="C114">
            <v>433</v>
          </cell>
          <cell r="D114" t="str">
            <v>-  GEN. SET 50 KVA. (STAND-BY)</v>
          </cell>
          <cell r="E114">
            <v>546000</v>
          </cell>
          <cell r="F114">
            <v>8000</v>
          </cell>
          <cell r="G114" t="str">
            <v>SET</v>
          </cell>
        </row>
        <row r="115">
          <cell r="C115">
            <v>434</v>
          </cell>
          <cell r="D115" t="str">
            <v>-  GEN. SET 70 KVA. (STAND-BY)</v>
          </cell>
          <cell r="E115">
            <v>570000</v>
          </cell>
          <cell r="F115">
            <v>8000</v>
          </cell>
          <cell r="G115" t="str">
            <v>SET</v>
          </cell>
        </row>
        <row r="116">
          <cell r="C116">
            <v>435</v>
          </cell>
          <cell r="D116" t="str">
            <v>-  GEN. SET 90 KVA. (STAND-BY)</v>
          </cell>
          <cell r="E116">
            <v>590000</v>
          </cell>
          <cell r="F116">
            <v>10000</v>
          </cell>
          <cell r="G116" t="str">
            <v>SET</v>
          </cell>
        </row>
        <row r="117">
          <cell r="C117">
            <v>436</v>
          </cell>
          <cell r="D117" t="str">
            <v>-  GEN. SET 110 KVA. (STAND-BY)</v>
          </cell>
          <cell r="E117">
            <v>670000</v>
          </cell>
          <cell r="F117">
            <v>10000</v>
          </cell>
          <cell r="G117" t="str">
            <v>SET</v>
          </cell>
        </row>
        <row r="118">
          <cell r="C118">
            <v>437</v>
          </cell>
          <cell r="D118" t="str">
            <v>-  GEN. SET 150 KVA. (STAND-BY)</v>
          </cell>
          <cell r="E118">
            <v>900000</v>
          </cell>
          <cell r="F118">
            <v>15000</v>
          </cell>
          <cell r="G118" t="str">
            <v>SET</v>
          </cell>
        </row>
        <row r="119">
          <cell r="C119">
            <v>438</v>
          </cell>
          <cell r="D119" t="str">
            <v>-  GEN. SET 190 KVA. (STAND-BY)</v>
          </cell>
          <cell r="E119">
            <v>920000</v>
          </cell>
          <cell r="F119">
            <v>15000</v>
          </cell>
          <cell r="G119" t="str">
            <v>SET</v>
          </cell>
        </row>
        <row r="120">
          <cell r="C120">
            <v>439</v>
          </cell>
          <cell r="D120" t="str">
            <v>-  GEN. SET 210 KVA. (STAND-BY)</v>
          </cell>
          <cell r="E120">
            <v>1100000</v>
          </cell>
          <cell r="F120">
            <v>20000</v>
          </cell>
          <cell r="G120" t="str">
            <v>SET</v>
          </cell>
        </row>
        <row r="121">
          <cell r="C121">
            <v>440</v>
          </cell>
          <cell r="D121" t="str">
            <v>-  GEN. SET 250 KVA. (STAND-BY)</v>
          </cell>
          <cell r="E121">
            <v>1214000</v>
          </cell>
          <cell r="F121">
            <v>20000</v>
          </cell>
          <cell r="G121" t="str">
            <v>SET</v>
          </cell>
        </row>
        <row r="122">
          <cell r="C122">
            <v>441</v>
          </cell>
          <cell r="D122" t="str">
            <v>-  GEN. SET 280 KVA. (STAND-BY)</v>
          </cell>
          <cell r="E122">
            <v>1350000</v>
          </cell>
          <cell r="F122">
            <v>20000</v>
          </cell>
          <cell r="G122" t="str">
            <v>SET</v>
          </cell>
        </row>
        <row r="123">
          <cell r="C123">
            <v>442</v>
          </cell>
          <cell r="D123" t="str">
            <v>-  GEN. SET 310 KVA. (STAND-BY)</v>
          </cell>
          <cell r="E123">
            <v>1510000</v>
          </cell>
          <cell r="F123">
            <v>25000</v>
          </cell>
          <cell r="G123" t="str">
            <v>SET</v>
          </cell>
        </row>
        <row r="124">
          <cell r="C124">
            <v>443</v>
          </cell>
          <cell r="D124" t="str">
            <v>-  GEN. SET 330 KVA. (STAND-BY)</v>
          </cell>
          <cell r="E124">
            <v>1550000</v>
          </cell>
          <cell r="F124">
            <v>25000</v>
          </cell>
          <cell r="G124" t="str">
            <v>SET</v>
          </cell>
        </row>
        <row r="125">
          <cell r="C125">
            <v>444</v>
          </cell>
          <cell r="D125" t="str">
            <v>-  GEN. SET 345 KVA. (STAND-BY)</v>
          </cell>
          <cell r="E125">
            <v>1600000</v>
          </cell>
          <cell r="F125">
            <v>25000</v>
          </cell>
          <cell r="G125" t="str">
            <v>SET</v>
          </cell>
        </row>
        <row r="126">
          <cell r="C126">
            <v>445</v>
          </cell>
          <cell r="D126" t="str">
            <v>-  GEN. SET 390 KVA. (STAND-BY)</v>
          </cell>
          <cell r="E126">
            <v>1884000</v>
          </cell>
          <cell r="F126">
            <v>25000</v>
          </cell>
          <cell r="G126" t="str">
            <v>SET</v>
          </cell>
        </row>
        <row r="127">
          <cell r="C127">
            <v>446</v>
          </cell>
          <cell r="D127" t="str">
            <v>-  GEN. SET 415 KVA. (STAND-BY)</v>
          </cell>
          <cell r="E127">
            <v>1900000</v>
          </cell>
          <cell r="F127">
            <v>25000</v>
          </cell>
          <cell r="G127" t="str">
            <v>SET</v>
          </cell>
        </row>
        <row r="128">
          <cell r="C128">
            <v>447</v>
          </cell>
          <cell r="D128" t="str">
            <v>-  GEN. SET 500 KVA. (STAND-BY)</v>
          </cell>
          <cell r="E128">
            <v>2063000</v>
          </cell>
          <cell r="F128">
            <v>25000</v>
          </cell>
          <cell r="G128" t="str">
            <v>SET</v>
          </cell>
        </row>
        <row r="129">
          <cell r="C129">
            <v>448</v>
          </cell>
          <cell r="D129" t="str">
            <v>-  GEN. SET 560 KVA. (STAND-BY)</v>
          </cell>
          <cell r="E129">
            <v>2195000</v>
          </cell>
          <cell r="F129">
            <v>30000</v>
          </cell>
          <cell r="G129" t="str">
            <v>SET</v>
          </cell>
        </row>
        <row r="130">
          <cell r="C130">
            <v>449</v>
          </cell>
          <cell r="D130" t="str">
            <v>-  GEN. SET 700 KVA. (STAND-BY)</v>
          </cell>
          <cell r="E130">
            <v>2897000</v>
          </cell>
          <cell r="F130">
            <v>30000</v>
          </cell>
          <cell r="G130" t="str">
            <v>SET</v>
          </cell>
        </row>
        <row r="131">
          <cell r="C131">
            <v>450</v>
          </cell>
          <cell r="D131" t="str">
            <v>-  GEN. SET 800 KVA. (STAND-BY)</v>
          </cell>
          <cell r="E131">
            <v>3664000</v>
          </cell>
          <cell r="F131">
            <v>30000</v>
          </cell>
          <cell r="G131" t="str">
            <v>SET</v>
          </cell>
        </row>
        <row r="132">
          <cell r="C132">
            <v>451</v>
          </cell>
          <cell r="D132" t="str">
            <v>-  GEN. SET 830 KVA. (STAND-BY)</v>
          </cell>
          <cell r="E132">
            <v>3826000</v>
          </cell>
          <cell r="F132">
            <v>35000</v>
          </cell>
          <cell r="G132" t="str">
            <v>SET</v>
          </cell>
        </row>
        <row r="133">
          <cell r="C133">
            <v>452</v>
          </cell>
          <cell r="D133" t="str">
            <v>-  GEN. SET 1,000 KVA. (STAND-BY)</v>
          </cell>
          <cell r="E133">
            <v>3963000</v>
          </cell>
          <cell r="F133">
            <v>35000</v>
          </cell>
          <cell r="G133" t="str">
            <v>SET</v>
          </cell>
        </row>
        <row r="134">
          <cell r="C134">
            <v>453</v>
          </cell>
          <cell r="D134" t="str">
            <v>-  GEN. SET 1,125 KVA. (STAND-BY)</v>
          </cell>
          <cell r="E134">
            <v>4683000</v>
          </cell>
          <cell r="F134">
            <v>40000</v>
          </cell>
          <cell r="G134" t="str">
            <v>SET</v>
          </cell>
        </row>
        <row r="135">
          <cell r="C135">
            <v>454</v>
          </cell>
          <cell r="D135" t="str">
            <v>-  GEN. SET 1,400 KVA. (STAND-BY)</v>
          </cell>
          <cell r="E135">
            <v>5400000</v>
          </cell>
          <cell r="F135">
            <v>45000</v>
          </cell>
          <cell r="G135" t="str">
            <v>SET</v>
          </cell>
        </row>
        <row r="136">
          <cell r="C136">
            <v>455</v>
          </cell>
          <cell r="D136" t="str">
            <v>-  GEN. SET 1,550 KVA. (STAND-BY)</v>
          </cell>
          <cell r="E136">
            <v>6330000</v>
          </cell>
          <cell r="F136">
            <v>50000</v>
          </cell>
          <cell r="G136" t="str">
            <v>SET</v>
          </cell>
        </row>
        <row r="137">
          <cell r="C137">
            <v>456</v>
          </cell>
          <cell r="D137" t="str">
            <v>-  GEN. SET 1,600 KVA. (STAND-BY)</v>
          </cell>
          <cell r="E137">
            <v>7000000</v>
          </cell>
          <cell r="F137">
            <v>50000</v>
          </cell>
          <cell r="G137" t="str">
            <v>SET</v>
          </cell>
        </row>
        <row r="138">
          <cell r="C138">
            <v>802</v>
          </cell>
          <cell r="D138" t="str">
            <v>SPACE</v>
          </cell>
          <cell r="E138">
            <v>11000</v>
          </cell>
          <cell r="F138">
            <v>500</v>
          </cell>
          <cell r="G138" t="str">
            <v>M.</v>
          </cell>
        </row>
        <row r="139">
          <cell r="C139">
            <v>5</v>
          </cell>
          <cell r="D139" t="str">
            <v>HIGH-VOLTAGE EQUIPMENT</v>
          </cell>
          <cell r="E139">
            <v>12000</v>
          </cell>
          <cell r="F139">
            <v>700</v>
          </cell>
          <cell r="G139" t="str">
            <v>M.</v>
          </cell>
        </row>
        <row r="140">
          <cell r="C140">
            <v>501</v>
          </cell>
          <cell r="D140" t="str">
            <v>-  LIGHTNING ARRESTER 21 KV. 5 KA.</v>
          </cell>
          <cell r="E140">
            <v>3000</v>
          </cell>
          <cell r="F140">
            <v>200</v>
          </cell>
          <cell r="G140" t="str">
            <v>EA.</v>
          </cell>
        </row>
        <row r="141">
          <cell r="C141">
            <v>502</v>
          </cell>
          <cell r="D141" t="str">
            <v>-  LIGHTNING ARRESTER 24 KV. 5 KA.</v>
          </cell>
          <cell r="E141">
            <v>3000</v>
          </cell>
          <cell r="F141">
            <v>200</v>
          </cell>
          <cell r="G141" t="str">
            <v>EA.</v>
          </cell>
        </row>
        <row r="142">
          <cell r="C142">
            <v>503</v>
          </cell>
          <cell r="D142" t="str">
            <v>-  LIGHTNING ARRESTER 30 KV. 5 KA.</v>
          </cell>
          <cell r="E142">
            <v>5800</v>
          </cell>
          <cell r="F142">
            <v>200</v>
          </cell>
          <cell r="G142" t="str">
            <v>EA.</v>
          </cell>
        </row>
        <row r="143">
          <cell r="C143">
            <v>504</v>
          </cell>
          <cell r="D143" t="str">
            <v>-  LIGHTNING ARRESTER 20 KV. 10 KA.</v>
          </cell>
          <cell r="E143">
            <v>6000</v>
          </cell>
          <cell r="F143">
            <v>200</v>
          </cell>
          <cell r="G143" t="str">
            <v>EA.</v>
          </cell>
        </row>
        <row r="144">
          <cell r="C144">
            <v>505</v>
          </cell>
          <cell r="D144" t="str">
            <v>-  LIGHTNING ARRESTER 24 KV. 10 KA.</v>
          </cell>
          <cell r="E144">
            <v>6000</v>
          </cell>
          <cell r="F144">
            <v>200</v>
          </cell>
          <cell r="G144" t="str">
            <v>EA.</v>
          </cell>
        </row>
        <row r="145">
          <cell r="C145">
            <v>506</v>
          </cell>
          <cell r="D145" t="str">
            <v>-  LIGHTNING ARRESTER 30 KV. 10 KA.</v>
          </cell>
          <cell r="E145">
            <v>7500</v>
          </cell>
          <cell r="F145">
            <v>200</v>
          </cell>
          <cell r="G145" t="str">
            <v>EA.</v>
          </cell>
        </row>
        <row r="146">
          <cell r="C146">
            <v>507</v>
          </cell>
          <cell r="D146" t="str">
            <v>-  CURRENT TRANSFORMER 24 KV.</v>
          </cell>
          <cell r="E146">
            <v>22000</v>
          </cell>
          <cell r="F146">
            <v>0</v>
          </cell>
          <cell r="G146" t="str">
            <v>EA.</v>
          </cell>
        </row>
        <row r="147">
          <cell r="C147">
            <v>508</v>
          </cell>
          <cell r="D147" t="str">
            <v>-  CURRENT TRANSFORMER 36 KV.</v>
          </cell>
          <cell r="E147">
            <v>25000</v>
          </cell>
          <cell r="F147">
            <v>0</v>
          </cell>
          <cell r="G147" t="str">
            <v>EA.</v>
          </cell>
        </row>
        <row r="148">
          <cell r="C148">
            <v>509</v>
          </cell>
          <cell r="D148" t="str">
            <v>-  VOLTAGE TRANSFORMER 24 KV.</v>
          </cell>
          <cell r="E148">
            <v>32000</v>
          </cell>
          <cell r="F148">
            <v>0</v>
          </cell>
          <cell r="G148" t="str">
            <v>EA.</v>
          </cell>
        </row>
        <row r="149">
          <cell r="C149">
            <v>510</v>
          </cell>
          <cell r="D149" t="str">
            <v>-  VOLTAGE TRANSFORMER 36 KV.</v>
          </cell>
          <cell r="E149">
            <v>50000</v>
          </cell>
          <cell r="F149">
            <v>0</v>
          </cell>
          <cell r="G149" t="str">
            <v>EA.</v>
          </cell>
        </row>
        <row r="150">
          <cell r="C150">
            <v>511</v>
          </cell>
          <cell r="D150" t="str">
            <v>-  35 SQ.MM. TERMINATOR 24 KV. INDOOR TYPE</v>
          </cell>
          <cell r="E150">
            <v>1750</v>
          </cell>
          <cell r="F150">
            <v>1000</v>
          </cell>
          <cell r="G150" t="str">
            <v>SET</v>
          </cell>
        </row>
        <row r="151">
          <cell r="C151">
            <v>512</v>
          </cell>
          <cell r="D151" t="str">
            <v>-  70 SQ.MM. TERMINATOR 24 KV. INDOOR TYPE</v>
          </cell>
          <cell r="E151">
            <v>1850</v>
          </cell>
          <cell r="F151">
            <v>1000</v>
          </cell>
          <cell r="G151" t="str">
            <v>SET</v>
          </cell>
        </row>
        <row r="152">
          <cell r="C152">
            <v>513</v>
          </cell>
          <cell r="D152" t="str">
            <v>-  185 SQ.MM. TERMINATOR 24 KV. INDOOR TYPE</v>
          </cell>
          <cell r="E152">
            <v>2100</v>
          </cell>
          <cell r="F152">
            <v>1000</v>
          </cell>
          <cell r="G152" t="str">
            <v>SET</v>
          </cell>
        </row>
        <row r="153">
          <cell r="C153">
            <v>514</v>
          </cell>
          <cell r="D153" t="str">
            <v>-  400 SQ.MM. TERMINATOR 24 KV. INDOOR TYPE</v>
          </cell>
          <cell r="E153">
            <v>2380</v>
          </cell>
          <cell r="F153">
            <v>1000</v>
          </cell>
          <cell r="G153" t="str">
            <v>SET</v>
          </cell>
        </row>
        <row r="154">
          <cell r="C154">
            <v>515</v>
          </cell>
          <cell r="D154" t="str">
            <v>-  50 SQ.MM. TERMINATOR 36 KV. INDOOR TYPE</v>
          </cell>
          <cell r="E154">
            <v>2750</v>
          </cell>
          <cell r="F154">
            <v>1000</v>
          </cell>
          <cell r="G154" t="str">
            <v>SET</v>
          </cell>
        </row>
        <row r="155">
          <cell r="C155">
            <v>516</v>
          </cell>
          <cell r="D155" t="str">
            <v>-  120 SQ.MM. TERMINATOR 36 KV. INDOOR TYPE</v>
          </cell>
          <cell r="E155">
            <v>3150</v>
          </cell>
          <cell r="F155">
            <v>1000</v>
          </cell>
          <cell r="G155" t="str">
            <v>SET</v>
          </cell>
        </row>
        <row r="156">
          <cell r="C156">
            <v>517</v>
          </cell>
          <cell r="D156" t="str">
            <v>-  185 SQ.MM. TERMINATOR 36 KV. INDOOR TYPE</v>
          </cell>
          <cell r="E156">
            <v>3380</v>
          </cell>
          <cell r="F156">
            <v>1000</v>
          </cell>
          <cell r="G156" t="str">
            <v>SET</v>
          </cell>
        </row>
        <row r="157">
          <cell r="C157">
            <v>518</v>
          </cell>
          <cell r="D157" t="str">
            <v>-  500 SQ.MM. TERMINATOR 36 KV. INDOOR TYPE</v>
          </cell>
          <cell r="E157">
            <v>3800</v>
          </cell>
          <cell r="F157">
            <v>1000</v>
          </cell>
          <cell r="G157" t="str">
            <v>SET</v>
          </cell>
        </row>
        <row r="158">
          <cell r="C158">
            <v>519</v>
          </cell>
          <cell r="D158" t="str">
            <v>-  35 SQ.MM. TERMINATOR 24 KV. OUTDOOR TYPE</v>
          </cell>
          <cell r="E158">
            <v>4400</v>
          </cell>
          <cell r="F158">
            <v>1000</v>
          </cell>
          <cell r="G158" t="str">
            <v>SET</v>
          </cell>
        </row>
        <row r="159">
          <cell r="C159">
            <v>520</v>
          </cell>
          <cell r="D159" t="str">
            <v>-  70 SQ.MM. TERMINATOR 24 KV. OUTDOOR TYPE</v>
          </cell>
          <cell r="E159">
            <v>4600</v>
          </cell>
          <cell r="F159">
            <v>1000</v>
          </cell>
          <cell r="G159" t="str">
            <v>SET</v>
          </cell>
        </row>
        <row r="160">
          <cell r="C160">
            <v>521</v>
          </cell>
          <cell r="D160" t="str">
            <v>-  185 SQ.MM. TERMINATOR 24 KV. OUTDOOR TYPE</v>
          </cell>
          <cell r="E160">
            <v>4950</v>
          </cell>
          <cell r="F160">
            <v>1200</v>
          </cell>
          <cell r="G160" t="str">
            <v>SET</v>
          </cell>
        </row>
        <row r="161">
          <cell r="C161">
            <v>522</v>
          </cell>
          <cell r="D161" t="str">
            <v>-  400 SQ.MM. TERMINATOR 24 KV. OUTDOOR TYPE</v>
          </cell>
          <cell r="E161">
            <v>5400</v>
          </cell>
          <cell r="F161">
            <v>1200</v>
          </cell>
          <cell r="G161" t="str">
            <v>SET</v>
          </cell>
        </row>
        <row r="162">
          <cell r="C162">
            <v>523</v>
          </cell>
          <cell r="D162" t="str">
            <v>-  50 SQ.MM. TERMINATOR 36 KV. OUTDOOR TYPE</v>
          </cell>
          <cell r="E162">
            <v>6300</v>
          </cell>
          <cell r="F162">
            <v>1000</v>
          </cell>
          <cell r="G162" t="str">
            <v>SET</v>
          </cell>
        </row>
        <row r="163">
          <cell r="C163">
            <v>524</v>
          </cell>
          <cell r="D163" t="str">
            <v>-  120 SQ.MM. TERMINATOR 36 KV. OUTDOOR TYPE</v>
          </cell>
          <cell r="E163">
            <v>6800</v>
          </cell>
          <cell r="F163">
            <v>1000</v>
          </cell>
          <cell r="G163" t="str">
            <v>SET</v>
          </cell>
        </row>
        <row r="164">
          <cell r="C164">
            <v>525</v>
          </cell>
          <cell r="D164" t="str">
            <v>-  185 SQ.MM. TERMINATOR 36 KV. OUTDOOR TYPE</v>
          </cell>
          <cell r="E164">
            <v>7600</v>
          </cell>
          <cell r="F164">
            <v>1200</v>
          </cell>
          <cell r="G164" t="str">
            <v>SET</v>
          </cell>
        </row>
        <row r="165">
          <cell r="C165">
            <v>526</v>
          </cell>
          <cell r="D165" t="str">
            <v>-  500 SQ.MM. TERMINATOR 36 KV. OUTDOOR TYPE</v>
          </cell>
          <cell r="E165">
            <v>8000</v>
          </cell>
          <cell r="F165">
            <v>1200</v>
          </cell>
          <cell r="G165" t="str">
            <v>SET</v>
          </cell>
        </row>
        <row r="166">
          <cell r="C166">
            <v>829</v>
          </cell>
          <cell r="D166" t="str">
            <v>SPACE</v>
          </cell>
          <cell r="E166">
            <v>28000</v>
          </cell>
          <cell r="F166">
            <v>800</v>
          </cell>
          <cell r="G166" t="str">
            <v>M.</v>
          </cell>
        </row>
        <row r="167">
          <cell r="C167">
            <v>830</v>
          </cell>
          <cell r="D167" t="str">
            <v>MANHOLE</v>
          </cell>
          <cell r="E167">
            <v>30000</v>
          </cell>
          <cell r="F167">
            <v>1000</v>
          </cell>
          <cell r="G167" t="str">
            <v>M.</v>
          </cell>
        </row>
        <row r="168">
          <cell r="C168">
            <v>551</v>
          </cell>
          <cell r="D168" t="str">
            <v>-  MANHOLE TYPE C</v>
          </cell>
          <cell r="E168">
            <v>15000</v>
          </cell>
          <cell r="F168">
            <v>5000</v>
          </cell>
          <cell r="G168" t="str">
            <v>LOT</v>
          </cell>
        </row>
        <row r="169">
          <cell r="C169">
            <v>552</v>
          </cell>
          <cell r="D169" t="str">
            <v>-  MANHOLE TYPE C - 1</v>
          </cell>
          <cell r="E169">
            <v>19000</v>
          </cell>
          <cell r="F169">
            <v>5000</v>
          </cell>
          <cell r="G169" t="str">
            <v>LOT</v>
          </cell>
        </row>
        <row r="170">
          <cell r="C170">
            <v>553</v>
          </cell>
          <cell r="D170" t="str">
            <v>-  MANHOLE TYPE C - 2</v>
          </cell>
          <cell r="E170">
            <v>14000</v>
          </cell>
          <cell r="F170">
            <v>5000</v>
          </cell>
          <cell r="G170" t="str">
            <v>LOT</v>
          </cell>
        </row>
        <row r="171">
          <cell r="C171">
            <v>554</v>
          </cell>
          <cell r="D171" t="str">
            <v>-  MANHOLE TYPE C - 3</v>
          </cell>
          <cell r="E171">
            <v>15000</v>
          </cell>
          <cell r="F171">
            <v>5000</v>
          </cell>
          <cell r="G171" t="str">
            <v>LOT</v>
          </cell>
        </row>
        <row r="172">
          <cell r="C172">
            <v>555</v>
          </cell>
          <cell r="D172" t="str">
            <v>-  MANHOLE TYPE A - 1</v>
          </cell>
          <cell r="E172">
            <v>40000</v>
          </cell>
          <cell r="F172">
            <v>25000</v>
          </cell>
          <cell r="G172" t="str">
            <v>LOT</v>
          </cell>
        </row>
        <row r="173">
          <cell r="C173">
            <v>556</v>
          </cell>
          <cell r="D173" t="str">
            <v>-  MANHOLE TYPE A - 1/1</v>
          </cell>
          <cell r="E173">
            <v>60000</v>
          </cell>
          <cell r="F173">
            <v>25000</v>
          </cell>
          <cell r="G173" t="str">
            <v>LOT</v>
          </cell>
        </row>
        <row r="174">
          <cell r="C174">
            <v>557</v>
          </cell>
          <cell r="D174" t="str">
            <v>-  MANHOLE TYPE A - 1/2</v>
          </cell>
          <cell r="E174">
            <v>54000</v>
          </cell>
          <cell r="F174">
            <v>22000</v>
          </cell>
          <cell r="G174" t="str">
            <v>LOT</v>
          </cell>
        </row>
        <row r="175">
          <cell r="C175">
            <v>558</v>
          </cell>
          <cell r="D175" t="str">
            <v>-  MANHOLE TYPE A - 1/3</v>
          </cell>
          <cell r="E175">
            <v>54000</v>
          </cell>
          <cell r="F175">
            <v>22000</v>
          </cell>
          <cell r="G175" t="str">
            <v>LOT</v>
          </cell>
        </row>
        <row r="176">
          <cell r="C176">
            <v>559</v>
          </cell>
          <cell r="D176" t="str">
            <v>-  MANHOLE TYPE A - 2</v>
          </cell>
          <cell r="E176">
            <v>49000</v>
          </cell>
          <cell r="F176">
            <v>17000</v>
          </cell>
          <cell r="G176" t="str">
            <v>LOT</v>
          </cell>
        </row>
        <row r="177">
          <cell r="C177">
            <v>560</v>
          </cell>
          <cell r="D177" t="str">
            <v>-  MANHOLE TYPE A - 2/1</v>
          </cell>
          <cell r="E177">
            <v>50000</v>
          </cell>
          <cell r="F177">
            <v>17000</v>
          </cell>
          <cell r="G177" t="str">
            <v>LOT</v>
          </cell>
        </row>
        <row r="178">
          <cell r="C178">
            <v>561</v>
          </cell>
          <cell r="D178" t="str">
            <v>-  MANHOLE TYPE A - 3</v>
          </cell>
          <cell r="E178">
            <v>42000</v>
          </cell>
          <cell r="F178">
            <v>15000</v>
          </cell>
          <cell r="G178" t="str">
            <v>LOT</v>
          </cell>
        </row>
        <row r="179">
          <cell r="C179">
            <v>562</v>
          </cell>
          <cell r="D179" t="str">
            <v>-  MANHOLE TYPE A - 3/1</v>
          </cell>
          <cell r="E179">
            <v>43000</v>
          </cell>
          <cell r="F179">
            <v>16000</v>
          </cell>
          <cell r="G179" t="str">
            <v>LOT</v>
          </cell>
        </row>
        <row r="180">
          <cell r="C180">
            <v>563</v>
          </cell>
          <cell r="D180" t="str">
            <v>-  MANHOLE TYPE A - 4/1</v>
          </cell>
          <cell r="E180">
            <v>60000</v>
          </cell>
          <cell r="F180">
            <v>20000</v>
          </cell>
          <cell r="G180" t="str">
            <v>LOT</v>
          </cell>
        </row>
        <row r="181">
          <cell r="C181">
            <v>564</v>
          </cell>
          <cell r="D181" t="str">
            <v>-  MANHOLE TYPE B - 3/1</v>
          </cell>
          <cell r="E181">
            <v>165000</v>
          </cell>
          <cell r="F181">
            <v>33000</v>
          </cell>
          <cell r="G181" t="str">
            <v>LOT</v>
          </cell>
        </row>
        <row r="182">
          <cell r="C182">
            <v>565</v>
          </cell>
          <cell r="D182" t="str">
            <v>-  MANHOLE TYPE B - 3/15</v>
          </cell>
          <cell r="E182">
            <v>144000</v>
          </cell>
          <cell r="F182">
            <v>46000</v>
          </cell>
          <cell r="G182" t="str">
            <v>LOT</v>
          </cell>
        </row>
        <row r="183">
          <cell r="C183">
            <v>566</v>
          </cell>
          <cell r="D183" t="str">
            <v>-  MANHOLE TYPE B - 3/3</v>
          </cell>
          <cell r="E183">
            <v>110000</v>
          </cell>
          <cell r="F183">
            <v>39000</v>
          </cell>
          <cell r="G183" t="str">
            <v>LOT</v>
          </cell>
        </row>
        <row r="184">
          <cell r="C184">
            <v>567</v>
          </cell>
          <cell r="D184" t="str">
            <v>-  MANHOLE TYPE B - 3/4</v>
          </cell>
          <cell r="E184">
            <v>136000</v>
          </cell>
          <cell r="F184">
            <v>37000</v>
          </cell>
          <cell r="G184" t="str">
            <v>LOT</v>
          </cell>
        </row>
        <row r="185">
          <cell r="C185">
            <v>568</v>
          </cell>
          <cell r="D185" t="str">
            <v>-  MANHOLE TYPE B - 4/1</v>
          </cell>
          <cell r="E185">
            <v>93000</v>
          </cell>
          <cell r="F185">
            <v>29000</v>
          </cell>
          <cell r="G185" t="str">
            <v>LOT</v>
          </cell>
        </row>
        <row r="186">
          <cell r="C186">
            <v>6</v>
          </cell>
          <cell r="D186" t="str">
            <v>HIGH-VOLTAGE SWITCHING EQUIPMENT</v>
          </cell>
          <cell r="E186">
            <v>14000</v>
          </cell>
          <cell r="F186">
            <v>500</v>
          </cell>
          <cell r="G186" t="str">
            <v>M.</v>
          </cell>
        </row>
        <row r="187">
          <cell r="C187">
            <v>853</v>
          </cell>
          <cell r="D187" t="str">
            <v>DROPOUT FUSE CUTOUT</v>
          </cell>
          <cell r="E187">
            <v>14000</v>
          </cell>
          <cell r="F187">
            <v>700</v>
          </cell>
          <cell r="G187" t="str">
            <v>M.</v>
          </cell>
        </row>
        <row r="188">
          <cell r="C188">
            <v>601</v>
          </cell>
          <cell r="D188" t="str">
            <v>-  DROPOUT FUSE CUTOUT 24 KV. 100A. 10 KA.</v>
          </cell>
          <cell r="E188">
            <v>6000</v>
          </cell>
          <cell r="F188">
            <v>500</v>
          </cell>
          <cell r="G188" t="str">
            <v>EA.</v>
          </cell>
        </row>
        <row r="189">
          <cell r="C189">
            <v>602</v>
          </cell>
          <cell r="D189" t="str">
            <v>-  DROPOUT FUSE CUTOUT 24 KV. 200A. 10 KA.</v>
          </cell>
          <cell r="E189">
            <v>7500</v>
          </cell>
          <cell r="F189">
            <v>500</v>
          </cell>
          <cell r="G189" t="str">
            <v>EA.</v>
          </cell>
        </row>
        <row r="190">
          <cell r="C190">
            <v>603</v>
          </cell>
          <cell r="D190" t="str">
            <v>-  DROPOUT FUSE CUTOUT 36 KV. 100A. 10 KA.</v>
          </cell>
          <cell r="E190">
            <v>6000</v>
          </cell>
          <cell r="F190">
            <v>500</v>
          </cell>
          <cell r="G190" t="str">
            <v>EA.</v>
          </cell>
        </row>
        <row r="191">
          <cell r="C191">
            <v>604</v>
          </cell>
          <cell r="D191" t="str">
            <v>-  DROPOUT FUSE CUTOUT 36 KV. 200A. 10 KA.</v>
          </cell>
          <cell r="E191">
            <v>14000</v>
          </cell>
          <cell r="F191">
            <v>500</v>
          </cell>
          <cell r="G191" t="str">
            <v>EA.</v>
          </cell>
        </row>
        <row r="192">
          <cell r="C192">
            <v>858</v>
          </cell>
          <cell r="D192" t="str">
            <v>SPACE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LOAD BREAK  (POLE MOUNTED)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611</v>
          </cell>
          <cell r="D194" t="str">
            <v>-  LOAD BREAK SWITCH 25 KV. 600A.</v>
          </cell>
          <cell r="E194">
            <v>200000</v>
          </cell>
          <cell r="F194">
            <v>5000</v>
          </cell>
          <cell r="G194" t="str">
            <v>EA.</v>
          </cell>
        </row>
        <row r="195">
          <cell r="C195">
            <v>612</v>
          </cell>
          <cell r="D195" t="str">
            <v>-  LOAD BREAK SWITCH 35 KV. 600A.</v>
          </cell>
          <cell r="E195">
            <v>288000</v>
          </cell>
          <cell r="F195">
            <v>5000</v>
          </cell>
          <cell r="G195" t="str">
            <v>EA.</v>
          </cell>
        </row>
        <row r="196">
          <cell r="C196">
            <v>613</v>
          </cell>
          <cell r="D196" t="str">
            <v>-  SF6. LOAD BREAK SWITCH 25 KV. 400A. MANUAL OPERATE</v>
          </cell>
          <cell r="E196">
            <v>300000</v>
          </cell>
          <cell r="F196">
            <v>7000</v>
          </cell>
          <cell r="G196" t="str">
            <v>EA.</v>
          </cell>
        </row>
        <row r="197">
          <cell r="C197">
            <v>614</v>
          </cell>
          <cell r="D197" t="str">
            <v>-  SF6. LOAD BREAK SWITCH 25 KV. 400A. MANUAL AND ELECTRIC OPERATE</v>
          </cell>
          <cell r="E197">
            <v>380000</v>
          </cell>
          <cell r="F197">
            <v>7000</v>
          </cell>
          <cell r="G197" t="str">
            <v>EA.</v>
          </cell>
        </row>
        <row r="198">
          <cell r="C198">
            <v>864</v>
          </cell>
          <cell r="D198" t="str">
            <v>SPACE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DISCONNECTING SWITCH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616</v>
          </cell>
          <cell r="D200" t="str">
            <v>-  DISCONNECTING SWITCH 24 KV. 600A.</v>
          </cell>
          <cell r="E200">
            <v>11000</v>
          </cell>
          <cell r="F200">
            <v>1500</v>
          </cell>
          <cell r="G200" t="str">
            <v>EA.</v>
          </cell>
        </row>
        <row r="201">
          <cell r="C201">
            <v>617</v>
          </cell>
          <cell r="D201" t="str">
            <v>-  DISCONNECTING SWITCH 36 KV. 600A.</v>
          </cell>
          <cell r="E201">
            <v>25000</v>
          </cell>
          <cell r="F201">
            <v>1500</v>
          </cell>
          <cell r="G201" t="str">
            <v>EA.</v>
          </cell>
        </row>
        <row r="202">
          <cell r="C202">
            <v>618</v>
          </cell>
          <cell r="D202" t="str">
            <v>-  DISCONNECTING SWITCH 24 KV. 1,200A.</v>
          </cell>
          <cell r="E202">
            <v>25000</v>
          </cell>
          <cell r="F202">
            <v>1500</v>
          </cell>
          <cell r="G202" t="str">
            <v>EA.</v>
          </cell>
        </row>
        <row r="203">
          <cell r="C203">
            <v>619</v>
          </cell>
          <cell r="D203" t="str">
            <v>-  DISCONNECTING SWITCH 36 KV. 1,200A.</v>
          </cell>
          <cell r="E203">
            <v>35000</v>
          </cell>
          <cell r="F203">
            <v>1500</v>
          </cell>
          <cell r="G203" t="str">
            <v>EA.</v>
          </cell>
        </row>
        <row r="204">
          <cell r="C204">
            <v>298</v>
          </cell>
          <cell r="D204" t="str">
            <v>SPACE</v>
          </cell>
          <cell r="E204">
            <v>55</v>
          </cell>
          <cell r="F204">
            <v>8</v>
          </cell>
          <cell r="G204" t="str">
            <v>M.</v>
          </cell>
        </row>
        <row r="205">
          <cell r="C205">
            <v>299</v>
          </cell>
          <cell r="D205" t="str">
            <v>LOAD BREAK SWITCH  (INDOOR)</v>
          </cell>
          <cell r="E205">
            <v>74</v>
          </cell>
          <cell r="F205">
            <v>11</v>
          </cell>
          <cell r="G205" t="str">
            <v>M.</v>
          </cell>
        </row>
        <row r="206">
          <cell r="C206">
            <v>626</v>
          </cell>
          <cell r="D206" t="str">
            <v>-  LOAD BREAK SWITCH 24 KV. 630A. (NONFUSE)</v>
          </cell>
          <cell r="E206">
            <v>70000</v>
          </cell>
          <cell r="F206">
            <v>0</v>
          </cell>
          <cell r="G206" t="str">
            <v>EA.</v>
          </cell>
        </row>
        <row r="207">
          <cell r="C207">
            <v>627</v>
          </cell>
          <cell r="D207" t="str">
            <v>-  LOAD BREAK SWITCH 36 KV. 630A. (NONFUSE)</v>
          </cell>
          <cell r="E207">
            <v>85000</v>
          </cell>
          <cell r="F207">
            <v>0</v>
          </cell>
          <cell r="G207" t="str">
            <v>EA.</v>
          </cell>
        </row>
        <row r="208">
          <cell r="C208">
            <v>628</v>
          </cell>
          <cell r="D208" t="str">
            <v>-  LOAD BREAK SWITCH 24 KV. 630A. (W./FUSE)</v>
          </cell>
          <cell r="E208">
            <v>86000</v>
          </cell>
          <cell r="F208">
            <v>0</v>
          </cell>
          <cell r="G208" t="str">
            <v>EA.</v>
          </cell>
        </row>
        <row r="209">
          <cell r="C209">
            <v>629</v>
          </cell>
          <cell r="D209" t="str">
            <v>-  LOAD BREAK SWITCH 36 KV. 630A. (W./FUSE)</v>
          </cell>
          <cell r="E209">
            <v>115000</v>
          </cell>
          <cell r="F209">
            <v>0</v>
          </cell>
          <cell r="G209" t="str">
            <v>EA.</v>
          </cell>
        </row>
        <row r="210">
          <cell r="C210">
            <v>875</v>
          </cell>
          <cell r="D210" t="str">
            <v>SPACE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636</v>
          </cell>
          <cell r="D211" t="str">
            <v xml:space="preserve">-  LOAD BREAK SWITCH 24 KV. 200A. </v>
          </cell>
          <cell r="E211">
            <v>514000</v>
          </cell>
          <cell r="F211">
            <v>8000</v>
          </cell>
          <cell r="G211" t="str">
            <v>EA.</v>
          </cell>
        </row>
        <row r="212">
          <cell r="C212">
            <v>637</v>
          </cell>
          <cell r="D212" t="str">
            <v xml:space="preserve">-  LOAD BREAK SWITCH 24 KV. 200A. </v>
          </cell>
          <cell r="E212">
            <v>819000</v>
          </cell>
          <cell r="F212">
            <v>10000</v>
          </cell>
          <cell r="G212" t="str">
            <v>EA.</v>
          </cell>
        </row>
        <row r="213">
          <cell r="C213">
            <v>638</v>
          </cell>
          <cell r="D213" t="str">
            <v xml:space="preserve">-  LOAD BREAK SWITCH 24 KV. 200A. </v>
          </cell>
          <cell r="E213">
            <v>1123000</v>
          </cell>
          <cell r="F213">
            <v>15000</v>
          </cell>
          <cell r="G213" t="str">
            <v>EA.</v>
          </cell>
        </row>
        <row r="214">
          <cell r="C214">
            <v>639</v>
          </cell>
          <cell r="D214" t="str">
            <v xml:space="preserve">-  LOAD BREAK SWITCH 24 KV. 200A. </v>
          </cell>
          <cell r="E214">
            <v>1224000</v>
          </cell>
          <cell r="F214">
            <v>10000</v>
          </cell>
          <cell r="G214" t="str">
            <v>EA.</v>
          </cell>
        </row>
        <row r="215">
          <cell r="C215">
            <v>640</v>
          </cell>
          <cell r="D215" t="str">
            <v xml:space="preserve">-  LOAD BREAK SWITCH 24 KV. 200A. </v>
          </cell>
          <cell r="E215">
            <v>2238000</v>
          </cell>
          <cell r="F215">
            <v>15000</v>
          </cell>
          <cell r="G215" t="str">
            <v>EA.</v>
          </cell>
        </row>
        <row r="216">
          <cell r="C216">
            <v>641</v>
          </cell>
          <cell r="D216" t="str">
            <v xml:space="preserve">-  LOAD BREAK SWITCH 24 KV. 200A. </v>
          </cell>
          <cell r="E216">
            <v>3252000</v>
          </cell>
          <cell r="F216">
            <v>18000</v>
          </cell>
          <cell r="G216" t="str">
            <v>EA.</v>
          </cell>
        </row>
        <row r="217">
          <cell r="C217">
            <v>882</v>
          </cell>
          <cell r="D217" t="str">
            <v>SPACE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RING MAIN UNIT (SF6)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651</v>
          </cell>
          <cell r="D219" t="str">
            <v>-  3 FUNC 400A. RING MAIN UNIT (DISCONNECTING SWITCH)</v>
          </cell>
          <cell r="E219">
            <v>702000</v>
          </cell>
          <cell r="F219">
            <v>10000</v>
          </cell>
          <cell r="G219" t="str">
            <v>SET</v>
          </cell>
        </row>
        <row r="220">
          <cell r="C220">
            <v>652</v>
          </cell>
          <cell r="D220" t="str">
            <v>-  3 FUNC 400A. RING MAIN UNIT (CIRCUIT BREAKER))</v>
          </cell>
          <cell r="E220">
            <v>702000</v>
          </cell>
          <cell r="F220">
            <v>10000</v>
          </cell>
          <cell r="G220" t="str">
            <v>SET</v>
          </cell>
        </row>
        <row r="221">
          <cell r="C221">
            <v>653</v>
          </cell>
          <cell r="D221" t="str">
            <v>-  4 FUNC 400A. RING MAIN UNIT (DISCONNECTING SWITCH)</v>
          </cell>
          <cell r="E221">
            <v>1014000</v>
          </cell>
          <cell r="F221">
            <v>12000</v>
          </cell>
          <cell r="G221" t="str">
            <v>SET</v>
          </cell>
        </row>
        <row r="222">
          <cell r="C222">
            <v>654</v>
          </cell>
          <cell r="D222" t="str">
            <v>-  4 FUNC 400A. RING MAIN UNIT (CIRCUIT BREAKER))</v>
          </cell>
          <cell r="E222">
            <v>1014000</v>
          </cell>
          <cell r="F222">
            <v>12000</v>
          </cell>
          <cell r="G222" t="str">
            <v>SET</v>
          </cell>
        </row>
        <row r="223">
          <cell r="C223">
            <v>655</v>
          </cell>
          <cell r="D223" t="str">
            <v>-  3 FUNC 600A. RING MAIN UNIT (DISCONNECTING SWITCH)</v>
          </cell>
          <cell r="E223">
            <v>819000</v>
          </cell>
          <cell r="F223">
            <v>12000</v>
          </cell>
          <cell r="G223" t="str">
            <v>SET</v>
          </cell>
        </row>
        <row r="224">
          <cell r="C224">
            <v>656</v>
          </cell>
          <cell r="D224" t="str">
            <v>-  3 FUNC 600A. RING MAIN UNIT (CIRCUIT BREAKER))</v>
          </cell>
          <cell r="E224">
            <v>819000</v>
          </cell>
          <cell r="F224">
            <v>12000</v>
          </cell>
          <cell r="G224" t="str">
            <v>SET</v>
          </cell>
        </row>
        <row r="225">
          <cell r="C225">
            <v>657</v>
          </cell>
          <cell r="D225" t="str">
            <v>-  4 FUNC 600A. RING MAIN UNIT (DISCONNECTING SWITCH)</v>
          </cell>
          <cell r="E225">
            <v>1131000</v>
          </cell>
          <cell r="F225">
            <v>15000</v>
          </cell>
          <cell r="G225" t="str">
            <v>SET</v>
          </cell>
        </row>
        <row r="226">
          <cell r="C226">
            <v>658</v>
          </cell>
          <cell r="D226" t="str">
            <v>-  4 FUNC 600A. RING MAIN UNIT (CIRCUIT BREAKER))</v>
          </cell>
          <cell r="E226">
            <v>1131000</v>
          </cell>
          <cell r="F226">
            <v>15000</v>
          </cell>
          <cell r="G226" t="str">
            <v>SET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327</v>
          </cell>
          <cell r="D228" t="str">
            <v>-  3/C - 185 SQ.MM. 12/20(24) KVCV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328</v>
          </cell>
          <cell r="D229" t="str">
            <v>-  3/C - 240 SQ.MM. 12/20(24) KVCV</v>
          </cell>
          <cell r="E229">
            <v>2566</v>
          </cell>
          <cell r="F229">
            <v>160</v>
          </cell>
          <cell r="G229" t="str">
            <v>M.</v>
          </cell>
        </row>
        <row r="230">
          <cell r="C230">
            <v>329</v>
          </cell>
          <cell r="D230" t="str">
            <v>-  3/C - 300 SQ.MM. 12/20(24) KVCV</v>
          </cell>
          <cell r="E230">
            <v>3084</v>
          </cell>
          <cell r="F230">
            <v>180</v>
          </cell>
          <cell r="G230" t="str">
            <v>M.</v>
          </cell>
        </row>
        <row r="231">
          <cell r="C231">
            <v>330</v>
          </cell>
          <cell r="D231" t="str">
            <v>-  3/C - 400 SQ.MM. 12/20(24) KVCV</v>
          </cell>
          <cell r="E231">
            <v>3712</v>
          </cell>
          <cell r="F231">
            <v>200</v>
          </cell>
          <cell r="G231" t="str">
            <v>M.</v>
          </cell>
        </row>
        <row r="232">
          <cell r="C232">
            <v>331</v>
          </cell>
          <cell r="D232" t="str">
            <v>-  1/C - 35 SQ.MM. 18/30(36) KVCV</v>
          </cell>
          <cell r="E232">
            <v>260</v>
          </cell>
          <cell r="F232">
            <v>60</v>
          </cell>
          <cell r="G232" t="str">
            <v>M.</v>
          </cell>
        </row>
        <row r="233">
          <cell r="C233">
            <v>332</v>
          </cell>
          <cell r="D233" t="str">
            <v>-  1/C - 50 SQ.MM. 18/30(36) KVCV</v>
          </cell>
          <cell r="E233">
            <v>281</v>
          </cell>
          <cell r="F233">
            <v>70</v>
          </cell>
          <cell r="G233" t="str">
            <v>M.</v>
          </cell>
        </row>
        <row r="234">
          <cell r="C234">
            <v>333</v>
          </cell>
          <cell r="D234" t="str">
            <v>-  1/C - 70 SQ.MM. 18/30(36) KVCV</v>
          </cell>
          <cell r="E234">
            <v>325</v>
          </cell>
          <cell r="F234">
            <v>75</v>
          </cell>
          <cell r="G234" t="str">
            <v>M.</v>
          </cell>
        </row>
        <row r="235">
          <cell r="C235">
            <v>334</v>
          </cell>
          <cell r="D235" t="str">
            <v>-  1/C - 95 SQ.MM. 18/30(36) KVCV</v>
          </cell>
          <cell r="E235">
            <v>396</v>
          </cell>
          <cell r="F235">
            <v>80</v>
          </cell>
          <cell r="G235" t="str">
            <v>M.</v>
          </cell>
        </row>
        <row r="236">
          <cell r="C236">
            <v>335</v>
          </cell>
          <cell r="D236" t="str">
            <v>-  1/C - 120 SQ.MM. 18/30(36) KVCV</v>
          </cell>
          <cell r="E236">
            <v>490</v>
          </cell>
          <cell r="F236">
            <v>85</v>
          </cell>
          <cell r="G236" t="str">
            <v>M.</v>
          </cell>
        </row>
        <row r="237">
          <cell r="C237">
            <v>336</v>
          </cell>
          <cell r="D237" t="str">
            <v>-  1/C - 150 SQ.MM. 18/30(36) KVCV</v>
          </cell>
          <cell r="E237">
            <v>560</v>
          </cell>
          <cell r="F237">
            <v>90</v>
          </cell>
          <cell r="G237" t="str">
            <v>M.</v>
          </cell>
        </row>
        <row r="238">
          <cell r="C238">
            <v>337</v>
          </cell>
          <cell r="D238" t="str">
            <v>-  1/C - 185 SQ.MM. 18/30(36) KVCV</v>
          </cell>
          <cell r="E238">
            <v>654</v>
          </cell>
          <cell r="F238">
            <v>100</v>
          </cell>
          <cell r="G238" t="str">
            <v>M.</v>
          </cell>
        </row>
        <row r="239">
          <cell r="C239">
            <v>338</v>
          </cell>
          <cell r="D239" t="str">
            <v>-  1/C - 240 SQ.MM. 18/30(36) KVCV</v>
          </cell>
          <cell r="E239">
            <v>802</v>
          </cell>
          <cell r="F239">
            <v>110</v>
          </cell>
          <cell r="G239" t="str">
            <v>M.</v>
          </cell>
        </row>
        <row r="240">
          <cell r="C240">
            <v>339</v>
          </cell>
          <cell r="D240" t="str">
            <v>-  1/C - 300 SQ.MM. 18/30(36) KVCV</v>
          </cell>
          <cell r="E240">
            <v>962</v>
          </cell>
          <cell r="F240">
            <v>130</v>
          </cell>
          <cell r="G240" t="str">
            <v>M.</v>
          </cell>
        </row>
        <row r="241">
          <cell r="C241">
            <v>340</v>
          </cell>
          <cell r="D241" t="str">
            <v>-  1/C - 400 SQ.MM. 18/30(36) KVCV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341</v>
          </cell>
          <cell r="D242" t="str">
            <v>-  3/C - 50 SQ.MM. 18/30(36) KVCV</v>
          </cell>
          <cell r="E242">
            <v>930</v>
          </cell>
          <cell r="F242">
            <v>100</v>
          </cell>
          <cell r="G242" t="str">
            <v>M.</v>
          </cell>
        </row>
        <row r="243">
          <cell r="C243">
            <v>342</v>
          </cell>
          <cell r="D243" t="str">
            <v>-  3/C - 70 SQ.MM. 18/30(36) KVCV</v>
          </cell>
          <cell r="E243">
            <v>1088</v>
          </cell>
          <cell r="F243">
            <v>110</v>
          </cell>
          <cell r="G243" t="str">
            <v>M.</v>
          </cell>
        </row>
        <row r="244">
          <cell r="C244">
            <v>343</v>
          </cell>
          <cell r="D244" t="str">
            <v>-  3/C - 95 SQ.MM. 18/30(36) KVCV</v>
          </cell>
          <cell r="E244">
            <v>1303</v>
          </cell>
          <cell r="F244">
            <v>130</v>
          </cell>
          <cell r="G244" t="str">
            <v>M.</v>
          </cell>
        </row>
        <row r="245">
          <cell r="C245">
            <v>344</v>
          </cell>
          <cell r="D245" t="str">
            <v>-  3/C - 120 SQ.MM. 18/30(36) KVCV</v>
          </cell>
          <cell r="E245">
            <v>1670</v>
          </cell>
          <cell r="F245">
            <v>150</v>
          </cell>
          <cell r="G245" t="str">
            <v>M.</v>
          </cell>
        </row>
        <row r="246">
          <cell r="C246">
            <v>345</v>
          </cell>
          <cell r="D246" t="str">
            <v>-  3/C - 150 SQ.MM. 18/30(36) KVCV</v>
          </cell>
          <cell r="E246">
            <v>1897</v>
          </cell>
          <cell r="F246">
            <v>170</v>
          </cell>
          <cell r="G246" t="str">
            <v>M.</v>
          </cell>
        </row>
        <row r="247">
          <cell r="C247">
            <v>346</v>
          </cell>
          <cell r="D247" t="str">
            <v>-  3/C - 185 SQ.MM. 18/30(36) KVCV</v>
          </cell>
          <cell r="E247">
            <v>2206</v>
          </cell>
          <cell r="F247">
            <v>180</v>
          </cell>
          <cell r="G247" t="str">
            <v>M.</v>
          </cell>
        </row>
        <row r="248">
          <cell r="C248">
            <v>347</v>
          </cell>
          <cell r="D248" t="str">
            <v>-  3/C - 240 SQ.MM. 18/30(36) KVCV</v>
          </cell>
          <cell r="E248">
            <v>2660</v>
          </cell>
          <cell r="F248">
            <v>200</v>
          </cell>
          <cell r="G248" t="str">
            <v>M.</v>
          </cell>
        </row>
        <row r="249">
          <cell r="C249">
            <v>348</v>
          </cell>
          <cell r="D249" t="str">
            <v>-  3/C - 300 SQ.MM. 18/30(36) KVCV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349</v>
          </cell>
          <cell r="D250" t="str">
            <v>-  3/C - 400 SQ.MM. 18/30(36) KVCV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SPACE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351</v>
          </cell>
          <cell r="D252" t="str">
            <v>-  1/C - 25 SQ.MM. 25 KV.XLPE</v>
          </cell>
          <cell r="E252">
            <v>0</v>
          </cell>
          <cell r="F252">
            <v>0</v>
          </cell>
          <cell r="G252" t="str">
            <v>M.</v>
          </cell>
        </row>
        <row r="253">
          <cell r="C253">
            <v>352</v>
          </cell>
          <cell r="D253" t="str">
            <v>-  1/C - 35 SQ.MM. 25 KV.XLPE</v>
          </cell>
          <cell r="E253">
            <v>305</v>
          </cell>
          <cell r="F253">
            <v>35</v>
          </cell>
          <cell r="G253" t="str">
            <v>M.</v>
          </cell>
        </row>
        <row r="254">
          <cell r="C254">
            <v>353</v>
          </cell>
          <cell r="D254" t="str">
            <v>-  1/C - 50 SQ.MM. 25 KV.XLPE</v>
          </cell>
          <cell r="E254">
            <v>345</v>
          </cell>
          <cell r="F254">
            <v>40</v>
          </cell>
          <cell r="G254" t="str">
            <v>M.</v>
          </cell>
        </row>
        <row r="255">
          <cell r="C255">
            <v>354</v>
          </cell>
          <cell r="D255" t="str">
            <v>-  1/C - 70 SQ.MM. 25 KV.XLPE</v>
          </cell>
          <cell r="E255">
            <v>415</v>
          </cell>
          <cell r="F255">
            <v>60</v>
          </cell>
          <cell r="G255" t="str">
            <v>M.</v>
          </cell>
        </row>
        <row r="256">
          <cell r="C256">
            <v>355</v>
          </cell>
          <cell r="D256" t="str">
            <v>-  1/C - 95 SQ.MM. 25 KV.XLPE</v>
          </cell>
          <cell r="E256">
            <v>515</v>
          </cell>
          <cell r="F256">
            <v>70</v>
          </cell>
          <cell r="G256" t="str">
            <v>M.</v>
          </cell>
        </row>
        <row r="257">
          <cell r="C257">
            <v>356</v>
          </cell>
          <cell r="D257" t="str">
            <v>-  1/C - 120 SQ.MM. 25 KV.XLPE</v>
          </cell>
          <cell r="E257">
            <v>605</v>
          </cell>
          <cell r="F257">
            <v>75</v>
          </cell>
          <cell r="G257" t="str">
            <v>M.</v>
          </cell>
        </row>
        <row r="258">
          <cell r="C258">
            <v>357</v>
          </cell>
          <cell r="D258" t="str">
            <v>-  1/C - 150 SQ.MM. 25 KV.XLPE</v>
          </cell>
          <cell r="E258">
            <v>705</v>
          </cell>
          <cell r="F258">
            <v>80</v>
          </cell>
          <cell r="G258" t="str">
            <v>M.</v>
          </cell>
        </row>
        <row r="259">
          <cell r="C259">
            <v>358</v>
          </cell>
          <cell r="D259" t="str">
            <v>-  1/C - 185 SQ.MM. 25 KV.XLPE</v>
          </cell>
          <cell r="E259">
            <v>835</v>
          </cell>
          <cell r="F259">
            <v>85</v>
          </cell>
          <cell r="G259" t="str">
            <v>M.</v>
          </cell>
        </row>
        <row r="260">
          <cell r="C260">
            <v>359</v>
          </cell>
          <cell r="D260" t="str">
            <v>-  1/C - 240 SQ.MM. 25 KV.XLPE</v>
          </cell>
          <cell r="E260">
            <v>995</v>
          </cell>
          <cell r="F260">
            <v>90</v>
          </cell>
          <cell r="G260" t="str">
            <v>M.</v>
          </cell>
        </row>
        <row r="261">
          <cell r="C261">
            <v>360</v>
          </cell>
          <cell r="D261" t="str">
            <v>-  1/C - 35 SQ.MM. 35 KV.XLPE</v>
          </cell>
          <cell r="E261">
            <v>0</v>
          </cell>
          <cell r="F261">
            <v>60</v>
          </cell>
          <cell r="G261" t="str">
            <v>M.</v>
          </cell>
        </row>
        <row r="262">
          <cell r="C262">
            <v>361</v>
          </cell>
          <cell r="D262" t="str">
            <v>-  1/C - 50 SQ.MM. 35 KV.XLPE</v>
          </cell>
          <cell r="E262">
            <v>0</v>
          </cell>
          <cell r="F262">
            <v>70</v>
          </cell>
          <cell r="G262" t="str">
            <v>M.</v>
          </cell>
        </row>
        <row r="263">
          <cell r="C263">
            <v>362</v>
          </cell>
          <cell r="D263" t="str">
            <v>-  1/C - 70 SQ.MM. 35 KV.XLPE</v>
          </cell>
          <cell r="E263">
            <v>0</v>
          </cell>
          <cell r="F263">
            <v>75</v>
          </cell>
          <cell r="G263" t="str">
            <v>M.</v>
          </cell>
        </row>
        <row r="264">
          <cell r="C264">
            <v>363</v>
          </cell>
          <cell r="D264" t="str">
            <v>-  1/C - 95 SQ.MM. 35 KV.XLPE</v>
          </cell>
          <cell r="E264">
            <v>0</v>
          </cell>
          <cell r="F264">
            <v>80</v>
          </cell>
          <cell r="G264" t="str">
            <v>M.</v>
          </cell>
        </row>
        <row r="265">
          <cell r="C265">
            <v>364</v>
          </cell>
          <cell r="D265" t="str">
            <v>-  1/C - 120 SQ.MM. 35 KV.XLPE</v>
          </cell>
          <cell r="E265">
            <v>0</v>
          </cell>
          <cell r="F265">
            <v>85</v>
          </cell>
          <cell r="G265" t="str">
            <v>M.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/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MATV, CCTV, SOUND, LIGHTING CONTROL, ACCESS CONTROL</v>
          </cell>
        </row>
        <row r="6">
          <cell r="C6">
            <v>1</v>
          </cell>
          <cell r="D6" t="str">
            <v>AND LIGHTNING PROTECTION</v>
          </cell>
        </row>
        <row r="7">
          <cell r="C7">
            <v>1</v>
          </cell>
          <cell r="D7" t="str">
            <v>HEAD END SET</v>
          </cell>
          <cell r="E7">
            <v>2</v>
          </cell>
          <cell r="F7">
            <v>0.5</v>
          </cell>
          <cell r="G7" t="str">
            <v>M.</v>
          </cell>
        </row>
        <row r="8">
          <cell r="C8">
            <v>101</v>
          </cell>
          <cell r="D8" t="str">
            <v>-  MULTIBAND AMPLIFIER</v>
          </cell>
          <cell r="E8">
            <v>5000</v>
          </cell>
          <cell r="F8">
            <v>0</v>
          </cell>
          <cell r="G8" t="str">
            <v>EA.</v>
          </cell>
        </row>
        <row r="9">
          <cell r="C9">
            <v>102</v>
          </cell>
          <cell r="D9" t="str">
            <v>-  CHANNEL AMPLIFIER</v>
          </cell>
          <cell r="E9">
            <v>7000</v>
          </cell>
          <cell r="F9">
            <v>0</v>
          </cell>
          <cell r="G9" t="str">
            <v>EA.</v>
          </cell>
        </row>
        <row r="10">
          <cell r="C10">
            <v>103</v>
          </cell>
          <cell r="D10" t="str">
            <v>-  BOOSTER</v>
          </cell>
          <cell r="E10">
            <v>3000</v>
          </cell>
          <cell r="F10">
            <v>0</v>
          </cell>
          <cell r="G10" t="str">
            <v>EA.</v>
          </cell>
        </row>
        <row r="11">
          <cell r="C11">
            <v>104</v>
          </cell>
          <cell r="D11" t="str">
            <v>-  RECEIVER AND MODULATOR</v>
          </cell>
          <cell r="E11">
            <v>16000</v>
          </cell>
          <cell r="F11">
            <v>0</v>
          </cell>
          <cell r="G11" t="str">
            <v>EA.</v>
          </cell>
        </row>
        <row r="12">
          <cell r="C12">
            <v>105</v>
          </cell>
          <cell r="D12" t="str">
            <v>-  POWER SUPPLY</v>
          </cell>
          <cell r="E12">
            <v>5000</v>
          </cell>
          <cell r="F12">
            <v>0</v>
          </cell>
          <cell r="G12" t="str">
            <v>EA.</v>
          </cell>
        </row>
        <row r="13">
          <cell r="C13">
            <v>106</v>
          </cell>
          <cell r="D13" t="str">
            <v>-  MIXER</v>
          </cell>
          <cell r="E13">
            <v>5000</v>
          </cell>
          <cell r="F13">
            <v>0</v>
          </cell>
          <cell r="G13" t="str">
            <v>EA.</v>
          </cell>
        </row>
        <row r="14">
          <cell r="C14">
            <v>107</v>
          </cell>
          <cell r="D14" t="str">
            <v>-  2-WAY SPLITTER</v>
          </cell>
          <cell r="E14">
            <v>400</v>
          </cell>
          <cell r="F14">
            <v>100</v>
          </cell>
          <cell r="G14" t="str">
            <v>EA.</v>
          </cell>
        </row>
        <row r="15">
          <cell r="C15">
            <v>108</v>
          </cell>
          <cell r="D15" t="str">
            <v>-  3-WAY SPLITTER</v>
          </cell>
          <cell r="E15">
            <v>600</v>
          </cell>
          <cell r="F15">
            <v>100</v>
          </cell>
          <cell r="G15" t="str">
            <v>EA.</v>
          </cell>
        </row>
        <row r="16">
          <cell r="C16">
            <v>109</v>
          </cell>
          <cell r="D16" t="str">
            <v>-  4-WAY SPLITTER</v>
          </cell>
          <cell r="E16">
            <v>800</v>
          </cell>
          <cell r="F16">
            <v>100</v>
          </cell>
          <cell r="G16" t="str">
            <v>EA.</v>
          </cell>
        </row>
        <row r="17">
          <cell r="C17">
            <v>110</v>
          </cell>
          <cell r="D17" t="str">
            <v>-  6-WAY SPLITTER</v>
          </cell>
          <cell r="E17">
            <v>600</v>
          </cell>
          <cell r="F17">
            <v>150</v>
          </cell>
          <cell r="G17" t="str">
            <v>EA.</v>
          </cell>
        </row>
        <row r="18">
          <cell r="C18">
            <v>111</v>
          </cell>
          <cell r="D18" t="str">
            <v>-  2-WAY TAP-OFF</v>
          </cell>
          <cell r="E18">
            <v>600</v>
          </cell>
          <cell r="F18">
            <v>100</v>
          </cell>
          <cell r="G18" t="str">
            <v>EA.</v>
          </cell>
        </row>
        <row r="19">
          <cell r="C19">
            <v>112</v>
          </cell>
          <cell r="D19" t="str">
            <v>-  3-WAY TAP-OFF</v>
          </cell>
          <cell r="E19">
            <v>800</v>
          </cell>
          <cell r="F19">
            <v>100</v>
          </cell>
          <cell r="G19" t="str">
            <v>EA.</v>
          </cell>
        </row>
        <row r="20">
          <cell r="C20">
            <v>113</v>
          </cell>
          <cell r="D20" t="str">
            <v>-  4-WAY TAP-OFF</v>
          </cell>
          <cell r="E20">
            <v>800</v>
          </cell>
          <cell r="F20">
            <v>150</v>
          </cell>
          <cell r="G20" t="str">
            <v>EA.</v>
          </cell>
        </row>
        <row r="21">
          <cell r="C21">
            <v>113</v>
          </cell>
          <cell r="D21" t="str">
            <v>SPACE</v>
          </cell>
          <cell r="E21">
            <v>31</v>
          </cell>
          <cell r="F21">
            <v>2</v>
          </cell>
          <cell r="G21" t="str">
            <v>M.</v>
          </cell>
        </row>
        <row r="22">
          <cell r="C22">
            <v>114</v>
          </cell>
          <cell r="D22" t="str">
            <v>ANTENNA AND SATTELLITE</v>
          </cell>
          <cell r="E22">
            <v>34</v>
          </cell>
          <cell r="F22">
            <v>4</v>
          </cell>
          <cell r="G22" t="str">
            <v>M.</v>
          </cell>
        </row>
        <row r="23">
          <cell r="C23">
            <v>121</v>
          </cell>
          <cell r="D23" t="str">
            <v>-  TV ANTENNA</v>
          </cell>
          <cell r="E23">
            <v>15000</v>
          </cell>
          <cell r="F23">
            <v>0</v>
          </cell>
          <cell r="G23" t="str">
            <v>SET</v>
          </cell>
        </row>
        <row r="24">
          <cell r="C24">
            <v>122</v>
          </cell>
          <cell r="D24" t="str">
            <v>-  TV AND FM ANTENNA</v>
          </cell>
          <cell r="E24">
            <v>16000</v>
          </cell>
          <cell r="F24">
            <v>0</v>
          </cell>
          <cell r="G24" t="str">
            <v>SET</v>
          </cell>
        </row>
        <row r="25">
          <cell r="C25">
            <v>123</v>
          </cell>
          <cell r="D25" t="str">
            <v>-  TV ANTENNA  (HOME USE)</v>
          </cell>
          <cell r="E25">
            <v>1500</v>
          </cell>
          <cell r="F25">
            <v>1000</v>
          </cell>
          <cell r="G25" t="str">
            <v>SET</v>
          </cell>
        </row>
        <row r="26">
          <cell r="C26">
            <v>124</v>
          </cell>
          <cell r="D26" t="str">
            <v>-  72 CM.DIGITAL SATELLITE DISH</v>
          </cell>
          <cell r="E26">
            <v>4000</v>
          </cell>
          <cell r="F26">
            <v>1000</v>
          </cell>
          <cell r="G26" t="str">
            <v>SET</v>
          </cell>
        </row>
        <row r="27">
          <cell r="C27">
            <v>125</v>
          </cell>
          <cell r="D27" t="str">
            <v>-  8" SATELLITE DISH</v>
          </cell>
          <cell r="E27">
            <v>24000</v>
          </cell>
          <cell r="F27">
            <v>5000</v>
          </cell>
          <cell r="G27" t="str">
            <v>SET</v>
          </cell>
        </row>
        <row r="28">
          <cell r="C28">
            <v>126</v>
          </cell>
          <cell r="D28" t="str">
            <v>-  10" SATELLITE DISH</v>
          </cell>
          <cell r="E28">
            <v>26000</v>
          </cell>
          <cell r="F28">
            <v>6000</v>
          </cell>
          <cell r="G28" t="str">
            <v>SET</v>
          </cell>
        </row>
        <row r="29">
          <cell r="C29">
            <v>121</v>
          </cell>
          <cell r="D29" t="str">
            <v>SPACE</v>
          </cell>
          <cell r="E29">
            <v>103</v>
          </cell>
          <cell r="F29">
            <v>17</v>
          </cell>
          <cell r="G29" t="str">
            <v>M.</v>
          </cell>
        </row>
        <row r="30">
          <cell r="C30">
            <v>122</v>
          </cell>
          <cell r="D30" t="str">
            <v>OUTLET AND CABLE</v>
          </cell>
          <cell r="E30">
            <v>120</v>
          </cell>
          <cell r="F30">
            <v>20</v>
          </cell>
          <cell r="G30" t="str">
            <v>M.</v>
          </cell>
        </row>
        <row r="31">
          <cell r="C31">
            <v>131</v>
          </cell>
          <cell r="D31" t="str">
            <v>-  TV OUTLET, PLASTIC PLATE</v>
          </cell>
          <cell r="E31">
            <v>160</v>
          </cell>
          <cell r="F31">
            <v>80</v>
          </cell>
          <cell r="G31" t="str">
            <v>SET</v>
          </cell>
        </row>
        <row r="32">
          <cell r="C32">
            <v>132</v>
          </cell>
          <cell r="D32" t="str">
            <v>-  TV AND FM OUTLET, PLASTIC PLATE</v>
          </cell>
          <cell r="E32">
            <v>280</v>
          </cell>
          <cell r="F32">
            <v>120</v>
          </cell>
          <cell r="G32" t="str">
            <v>SET</v>
          </cell>
        </row>
        <row r="33">
          <cell r="C33">
            <v>133</v>
          </cell>
          <cell r="D33" t="str">
            <v>-  TV OUTLET, ALUMINIUM PLATE</v>
          </cell>
          <cell r="E33">
            <v>190</v>
          </cell>
          <cell r="F33">
            <v>80</v>
          </cell>
          <cell r="G33" t="str">
            <v>SET</v>
          </cell>
        </row>
        <row r="34">
          <cell r="C34">
            <v>134</v>
          </cell>
          <cell r="D34" t="str">
            <v>-  TV AND FM OUTLET, ALUMINIUM PLATE</v>
          </cell>
          <cell r="E34">
            <v>310</v>
          </cell>
          <cell r="F34">
            <v>120</v>
          </cell>
          <cell r="G34" t="str">
            <v>SET</v>
          </cell>
        </row>
        <row r="35">
          <cell r="C35">
            <v>135</v>
          </cell>
          <cell r="D35" t="str">
            <v>-  TV OUTLET, STAINLESS PLATE</v>
          </cell>
          <cell r="E35">
            <v>205</v>
          </cell>
          <cell r="F35">
            <v>80</v>
          </cell>
          <cell r="G35" t="str">
            <v>SET</v>
          </cell>
        </row>
        <row r="36">
          <cell r="C36">
            <v>136</v>
          </cell>
          <cell r="D36" t="str">
            <v>-  TV AND FM OUTLET, STAINLESS PLATE</v>
          </cell>
          <cell r="E36">
            <v>325</v>
          </cell>
          <cell r="F36">
            <v>120</v>
          </cell>
          <cell r="G36" t="str">
            <v>SET</v>
          </cell>
        </row>
        <row r="37">
          <cell r="C37">
            <v>137</v>
          </cell>
          <cell r="D37" t="str">
            <v>-  TV OUTLET,  ALUMINIUM PLATE ; LIVING STYLE</v>
          </cell>
          <cell r="E37">
            <v>655</v>
          </cell>
          <cell r="F37">
            <v>80</v>
          </cell>
          <cell r="G37" t="str">
            <v>SET</v>
          </cell>
        </row>
        <row r="38">
          <cell r="C38">
            <v>138</v>
          </cell>
          <cell r="D38" t="str">
            <v>-  TV AND FM OUTLET,  ALUMINIUM PLATE ; LIVING STYLE</v>
          </cell>
          <cell r="E38">
            <v>1000</v>
          </cell>
          <cell r="F38">
            <v>120</v>
          </cell>
          <cell r="G38" t="str">
            <v>SET</v>
          </cell>
        </row>
        <row r="39">
          <cell r="C39">
            <v>139</v>
          </cell>
          <cell r="D39" t="str">
            <v>-  TV OUTLET,  CHROMIUM PLATE ; LIVING STYLE</v>
          </cell>
          <cell r="E39">
            <v>915</v>
          </cell>
          <cell r="F39">
            <v>80</v>
          </cell>
          <cell r="G39" t="str">
            <v>SET</v>
          </cell>
        </row>
        <row r="40">
          <cell r="C40">
            <v>140</v>
          </cell>
          <cell r="D40" t="str">
            <v>-  TV AND FM OUTLET,  CHROMIUM PLATE ; LIVING STYLE</v>
          </cell>
          <cell r="E40">
            <v>1300</v>
          </cell>
          <cell r="F40">
            <v>120</v>
          </cell>
          <cell r="G40" t="str">
            <v>SET</v>
          </cell>
        </row>
        <row r="41">
          <cell r="C41">
            <v>141</v>
          </cell>
          <cell r="D41" t="str">
            <v>-  RG59/U, 60% SHIELD</v>
          </cell>
          <cell r="E41">
            <v>13</v>
          </cell>
          <cell r="F41">
            <v>2</v>
          </cell>
          <cell r="G41" t="str">
            <v>M.</v>
          </cell>
        </row>
        <row r="42">
          <cell r="C42">
            <v>142</v>
          </cell>
          <cell r="D42" t="str">
            <v>-  RG6/U, 60% SHIELD</v>
          </cell>
          <cell r="E42">
            <v>15</v>
          </cell>
          <cell r="F42">
            <v>3</v>
          </cell>
          <cell r="G42" t="str">
            <v>M.</v>
          </cell>
        </row>
        <row r="43">
          <cell r="C43">
            <v>143</v>
          </cell>
          <cell r="D43" t="str">
            <v>-  RG11/U, 60% SHIELD</v>
          </cell>
          <cell r="E43">
            <v>31</v>
          </cell>
          <cell r="F43">
            <v>4</v>
          </cell>
          <cell r="G43" t="str">
            <v>M.</v>
          </cell>
        </row>
        <row r="44">
          <cell r="C44">
            <v>144</v>
          </cell>
          <cell r="D44" t="str">
            <v>-  RG59/U, 90% SHIELD</v>
          </cell>
          <cell r="E44">
            <v>15</v>
          </cell>
          <cell r="F44">
            <v>2</v>
          </cell>
          <cell r="G44" t="str">
            <v>M.</v>
          </cell>
        </row>
        <row r="45">
          <cell r="C45">
            <v>145</v>
          </cell>
          <cell r="D45" t="str">
            <v>-  RG6/U, 90% SHIELD</v>
          </cell>
          <cell r="E45">
            <v>22</v>
          </cell>
          <cell r="F45">
            <v>3</v>
          </cell>
          <cell r="G45" t="str">
            <v>M.</v>
          </cell>
        </row>
        <row r="46">
          <cell r="C46">
            <v>146</v>
          </cell>
          <cell r="D46" t="str">
            <v>-  RG11/U, 90% SHIELD</v>
          </cell>
          <cell r="E46">
            <v>33</v>
          </cell>
          <cell r="F46">
            <v>4</v>
          </cell>
          <cell r="G46" t="str">
            <v>M.</v>
          </cell>
        </row>
        <row r="47">
          <cell r="C47">
            <v>142</v>
          </cell>
          <cell r="D47" t="str">
            <v>SPACE</v>
          </cell>
          <cell r="E47">
            <v>0</v>
          </cell>
          <cell r="F47">
            <v>0</v>
          </cell>
          <cell r="G47" t="str">
            <v>M.</v>
          </cell>
        </row>
        <row r="48">
          <cell r="C48">
            <v>2</v>
          </cell>
          <cell r="D48" t="str">
            <v>CCTV SYSTEM</v>
          </cell>
          <cell r="E48">
            <v>95</v>
          </cell>
          <cell r="F48">
            <v>9</v>
          </cell>
          <cell r="G48" t="str">
            <v>M.</v>
          </cell>
        </row>
        <row r="49">
          <cell r="C49">
            <v>201</v>
          </cell>
          <cell r="D49" t="str">
            <v>-  VIDEO MULTIPLEXER 16 OUTPUT</v>
          </cell>
          <cell r="E49">
            <v>315000</v>
          </cell>
          <cell r="F49">
            <v>10000</v>
          </cell>
          <cell r="G49" t="str">
            <v>SET</v>
          </cell>
        </row>
        <row r="50">
          <cell r="C50">
            <v>202</v>
          </cell>
          <cell r="D50" t="str">
            <v>-  BLACK &amp; WHITE CCTV CAMERA FIXED LENS AUTO IRIS</v>
          </cell>
          <cell r="E50">
            <v>20000</v>
          </cell>
          <cell r="F50">
            <v>2000</v>
          </cell>
          <cell r="G50" t="str">
            <v>SET</v>
          </cell>
        </row>
        <row r="51">
          <cell r="C51">
            <v>203</v>
          </cell>
          <cell r="D51" t="str">
            <v>-  COLOUR CCTV CAMERA FIXED LENS AUTO IRIS</v>
          </cell>
          <cell r="E51">
            <v>27000</v>
          </cell>
          <cell r="F51">
            <v>2000</v>
          </cell>
          <cell r="G51" t="str">
            <v>SET</v>
          </cell>
        </row>
        <row r="52">
          <cell r="C52">
            <v>204</v>
          </cell>
          <cell r="D52" t="str">
            <v>-  TIME-LAPSE VCR</v>
          </cell>
          <cell r="E52">
            <v>54000</v>
          </cell>
          <cell r="F52">
            <v>3000</v>
          </cell>
          <cell r="G52" t="str">
            <v>SET</v>
          </cell>
        </row>
        <row r="53">
          <cell r="C53">
            <v>205</v>
          </cell>
          <cell r="D53" t="str">
            <v>-  CONTROL CONSOLE</v>
          </cell>
          <cell r="E53">
            <v>20000</v>
          </cell>
          <cell r="F53">
            <v>3000</v>
          </cell>
          <cell r="G53" t="str">
            <v>SET</v>
          </cell>
        </row>
        <row r="54">
          <cell r="C54">
            <v>149</v>
          </cell>
          <cell r="D54" t="str">
            <v>SPACE</v>
          </cell>
          <cell r="E54">
            <v>0</v>
          </cell>
          <cell r="F54">
            <v>0</v>
          </cell>
          <cell r="G54" t="str">
            <v>M.</v>
          </cell>
        </row>
        <row r="55">
          <cell r="C55">
            <v>211</v>
          </cell>
          <cell r="D55" t="str">
            <v>-  12" BLACK &amp; WHITE MONITOR</v>
          </cell>
          <cell r="E55">
            <v>10000</v>
          </cell>
          <cell r="F55">
            <v>1000</v>
          </cell>
          <cell r="G55" t="str">
            <v>SET</v>
          </cell>
        </row>
        <row r="56">
          <cell r="C56">
            <v>212</v>
          </cell>
          <cell r="D56" t="str">
            <v>-  14" BLACK &amp; WHITE MONITOR</v>
          </cell>
          <cell r="E56">
            <v>15000</v>
          </cell>
          <cell r="F56">
            <v>1000</v>
          </cell>
          <cell r="G56" t="str">
            <v>SET</v>
          </cell>
        </row>
        <row r="57">
          <cell r="C57">
            <v>213</v>
          </cell>
          <cell r="D57" t="str">
            <v>-  19" BLACK &amp; WHITE MONITOR</v>
          </cell>
          <cell r="E57">
            <v>20000</v>
          </cell>
          <cell r="F57">
            <v>1000</v>
          </cell>
          <cell r="G57" t="str">
            <v>SET</v>
          </cell>
        </row>
        <row r="58">
          <cell r="C58">
            <v>214</v>
          </cell>
          <cell r="D58" t="str">
            <v>-  12" COLOUR MONITOR</v>
          </cell>
          <cell r="E58">
            <v>25000</v>
          </cell>
          <cell r="F58">
            <v>1000</v>
          </cell>
          <cell r="G58" t="str">
            <v>SET</v>
          </cell>
        </row>
        <row r="59">
          <cell r="C59">
            <v>215</v>
          </cell>
          <cell r="D59" t="str">
            <v>-  14" COLOUR MONITOR</v>
          </cell>
          <cell r="E59">
            <v>40000</v>
          </cell>
          <cell r="F59">
            <v>1000</v>
          </cell>
          <cell r="G59" t="str">
            <v>SET</v>
          </cell>
        </row>
        <row r="60">
          <cell r="C60">
            <v>216</v>
          </cell>
          <cell r="D60" t="str">
            <v>-  20" COLOUR MONITOR</v>
          </cell>
          <cell r="E60">
            <v>70000</v>
          </cell>
          <cell r="F60">
            <v>1000</v>
          </cell>
          <cell r="G60" t="str">
            <v>SET</v>
          </cell>
        </row>
        <row r="61">
          <cell r="C61">
            <v>156</v>
          </cell>
          <cell r="D61" t="str">
            <v>-  5 PRS. - 0.65 MM. AP</v>
          </cell>
          <cell r="E61">
            <v>92</v>
          </cell>
          <cell r="F61">
            <v>7</v>
          </cell>
          <cell r="G61" t="str">
            <v>M.</v>
          </cell>
        </row>
        <row r="62">
          <cell r="C62">
            <v>3</v>
          </cell>
          <cell r="D62" t="str">
            <v>SOUND SYSTEM</v>
          </cell>
          <cell r="E62">
            <v>95</v>
          </cell>
          <cell r="F62">
            <v>8</v>
          </cell>
          <cell r="G62" t="str">
            <v>M.</v>
          </cell>
        </row>
        <row r="63">
          <cell r="C63">
            <v>301</v>
          </cell>
          <cell r="D63" t="str">
            <v>-  HAND-HELD MICROPHONE</v>
          </cell>
          <cell r="E63">
            <v>6570</v>
          </cell>
          <cell r="F63">
            <v>0</v>
          </cell>
          <cell r="G63" t="str">
            <v>SET</v>
          </cell>
        </row>
        <row r="64">
          <cell r="C64">
            <v>302</v>
          </cell>
          <cell r="D64" t="str">
            <v>-  TIE-CLIP MICROPHONE</v>
          </cell>
          <cell r="E64">
            <v>24600</v>
          </cell>
          <cell r="F64">
            <v>0</v>
          </cell>
          <cell r="G64" t="str">
            <v>SET</v>
          </cell>
        </row>
        <row r="65">
          <cell r="C65">
            <v>303</v>
          </cell>
          <cell r="D65" t="str">
            <v>-  TABLE-STAND MICROPHONE</v>
          </cell>
          <cell r="E65">
            <v>5830</v>
          </cell>
          <cell r="F65">
            <v>0</v>
          </cell>
          <cell r="G65" t="str">
            <v>SET</v>
          </cell>
        </row>
        <row r="66">
          <cell r="C66">
            <v>304</v>
          </cell>
          <cell r="D66" t="str">
            <v>-  TABLE-STAND MICROPHONE WITH REMOTE ZONE SELECTER</v>
          </cell>
          <cell r="E66">
            <v>17730</v>
          </cell>
          <cell r="F66">
            <v>0</v>
          </cell>
          <cell r="G66" t="str">
            <v>SET</v>
          </cell>
        </row>
        <row r="67">
          <cell r="C67">
            <v>305</v>
          </cell>
          <cell r="D67" t="str">
            <v>-  WIRELESS MICROPHONE</v>
          </cell>
          <cell r="E67">
            <v>18100</v>
          </cell>
          <cell r="F67">
            <v>0</v>
          </cell>
          <cell r="G67" t="str">
            <v>SET</v>
          </cell>
        </row>
        <row r="68">
          <cell r="C68">
            <v>306</v>
          </cell>
          <cell r="D68" t="str">
            <v>-  WIRELESS RECEIVER MODULE</v>
          </cell>
          <cell r="E68">
            <v>36000</v>
          </cell>
          <cell r="F68">
            <v>0</v>
          </cell>
          <cell r="G68" t="str">
            <v>SET</v>
          </cell>
        </row>
        <row r="69">
          <cell r="C69">
            <v>309</v>
          </cell>
          <cell r="D69" t="str">
            <v>-  8-CHANNEL SPACE AUDIO MIXER</v>
          </cell>
          <cell r="E69">
            <v>89960</v>
          </cell>
          <cell r="F69">
            <v>2000</v>
          </cell>
          <cell r="G69" t="str">
            <v>SET</v>
          </cell>
        </row>
        <row r="70">
          <cell r="C70">
            <v>310</v>
          </cell>
          <cell r="D70" t="str">
            <v>-  GRAPHIC EQUALIZER</v>
          </cell>
          <cell r="E70">
            <v>0</v>
          </cell>
          <cell r="F70">
            <v>0</v>
          </cell>
          <cell r="G70" t="str">
            <v>SET</v>
          </cell>
        </row>
        <row r="71">
          <cell r="C71">
            <v>311</v>
          </cell>
          <cell r="D71" t="str">
            <v>-  100 W. (MAX.) POWER AMPLIFIER</v>
          </cell>
          <cell r="E71">
            <v>69200</v>
          </cell>
          <cell r="F71">
            <v>1000</v>
          </cell>
          <cell r="G71" t="str">
            <v>SET</v>
          </cell>
        </row>
        <row r="72">
          <cell r="C72">
            <v>312</v>
          </cell>
          <cell r="D72" t="str">
            <v>-  200 W. (MAX.) POWER AMPLIFIER</v>
          </cell>
          <cell r="E72">
            <v>108120</v>
          </cell>
          <cell r="F72">
            <v>1500</v>
          </cell>
          <cell r="G72" t="str">
            <v>SET</v>
          </cell>
        </row>
        <row r="73">
          <cell r="C73">
            <v>313</v>
          </cell>
          <cell r="D73" t="str">
            <v>-  300 W. (MAX.) POWER AMPLIFIER</v>
          </cell>
          <cell r="E73">
            <v>177320</v>
          </cell>
          <cell r="F73">
            <v>2000</v>
          </cell>
          <cell r="G73" t="str">
            <v>SET</v>
          </cell>
        </row>
        <row r="74">
          <cell r="C74">
            <v>314</v>
          </cell>
          <cell r="D74" t="str">
            <v>-  400 W. (MAX.) POWER AMPLIFIER</v>
          </cell>
          <cell r="E74">
            <v>178610</v>
          </cell>
          <cell r="F74">
            <v>2000</v>
          </cell>
          <cell r="G74" t="str">
            <v>SET</v>
          </cell>
        </row>
        <row r="75">
          <cell r="C75">
            <v>315</v>
          </cell>
          <cell r="D75" t="str">
            <v>-  500 W. (MAX.) POWER AMPLIFIER</v>
          </cell>
          <cell r="E75">
            <v>220000</v>
          </cell>
          <cell r="F75">
            <v>2500</v>
          </cell>
          <cell r="G75" t="str">
            <v>SET</v>
          </cell>
        </row>
        <row r="76">
          <cell r="C76">
            <v>316</v>
          </cell>
          <cell r="D76" t="str">
            <v>-  1x600 W. (MAX.) POWER AMPLIFIER</v>
          </cell>
          <cell r="E76">
            <v>250000</v>
          </cell>
          <cell r="F76">
            <v>3000</v>
          </cell>
          <cell r="G76" t="str">
            <v>SET</v>
          </cell>
        </row>
        <row r="77">
          <cell r="C77">
            <v>317</v>
          </cell>
          <cell r="D77" t="str">
            <v>-  PRE-AMPLIFIER</v>
          </cell>
          <cell r="E77">
            <v>32900</v>
          </cell>
          <cell r="F77">
            <v>1000</v>
          </cell>
          <cell r="G77" t="str">
            <v>SET</v>
          </cell>
        </row>
        <row r="78">
          <cell r="C78">
            <v>321</v>
          </cell>
          <cell r="D78" t="str">
            <v>-  SINGLE SPACE TYPE DECK</v>
          </cell>
          <cell r="E78">
            <v>7550</v>
          </cell>
          <cell r="F78">
            <v>200</v>
          </cell>
          <cell r="G78" t="str">
            <v>SET</v>
          </cell>
        </row>
        <row r="79">
          <cell r="C79">
            <v>322</v>
          </cell>
          <cell r="D79" t="str">
            <v>-  DOUBLE TAPE DECK</v>
          </cell>
          <cell r="E79">
            <v>15000</v>
          </cell>
          <cell r="F79">
            <v>200</v>
          </cell>
          <cell r="G79" t="str">
            <v>SET</v>
          </cell>
        </row>
        <row r="80">
          <cell r="C80">
            <v>323</v>
          </cell>
          <cell r="D80" t="str">
            <v>-  1 D.CD.PLAYER</v>
          </cell>
          <cell r="E80">
            <v>0</v>
          </cell>
          <cell r="F80">
            <v>0</v>
          </cell>
          <cell r="G80" t="str">
            <v>SET</v>
          </cell>
        </row>
        <row r="81">
          <cell r="C81">
            <v>324</v>
          </cell>
          <cell r="D81" t="str">
            <v>-  3 D.CD.PLAYER</v>
          </cell>
          <cell r="E81">
            <v>0</v>
          </cell>
          <cell r="F81">
            <v>0</v>
          </cell>
          <cell r="G81" t="str">
            <v>SET</v>
          </cell>
        </row>
        <row r="82">
          <cell r="C82">
            <v>325</v>
          </cell>
          <cell r="D82" t="str">
            <v>-  5D.CD.PLAYER</v>
          </cell>
          <cell r="E82">
            <v>0</v>
          </cell>
          <cell r="F82">
            <v>0</v>
          </cell>
          <cell r="G82" t="str">
            <v>SET</v>
          </cell>
        </row>
        <row r="83">
          <cell r="C83">
            <v>326</v>
          </cell>
          <cell r="D83" t="str">
            <v>-  10 D.CD PLAYER</v>
          </cell>
          <cell r="E83">
            <v>0</v>
          </cell>
          <cell r="F83">
            <v>0</v>
          </cell>
          <cell r="G83" t="str">
            <v>SET</v>
          </cell>
        </row>
        <row r="84">
          <cell r="C84">
            <v>327</v>
          </cell>
          <cell r="D84" t="str">
            <v>-  TUNER &amp; ANTENNA</v>
          </cell>
          <cell r="E84">
            <v>5870</v>
          </cell>
          <cell r="F84">
            <v>200</v>
          </cell>
          <cell r="G84" t="str">
            <v>SET</v>
          </cell>
        </row>
        <row r="85">
          <cell r="C85">
            <v>178</v>
          </cell>
          <cell r="D85" t="str">
            <v>SPACE</v>
          </cell>
          <cell r="E85">
            <v>0</v>
          </cell>
          <cell r="F85">
            <v>6</v>
          </cell>
          <cell r="G85" t="str">
            <v>M.</v>
          </cell>
        </row>
        <row r="86">
          <cell r="C86">
            <v>331</v>
          </cell>
          <cell r="D86" t="str">
            <v>-  18 ZONE CALL STATION</v>
          </cell>
          <cell r="E86">
            <v>54000</v>
          </cell>
          <cell r="F86">
            <v>0</v>
          </cell>
          <cell r="G86" t="str">
            <v>SET</v>
          </cell>
        </row>
        <row r="87">
          <cell r="C87">
            <v>332</v>
          </cell>
          <cell r="D87" t="str">
            <v>-  36 ZONE CALL STATION</v>
          </cell>
          <cell r="E87">
            <v>75600</v>
          </cell>
          <cell r="F87">
            <v>0</v>
          </cell>
          <cell r="G87" t="str">
            <v>SET</v>
          </cell>
        </row>
        <row r="88">
          <cell r="C88">
            <v>333</v>
          </cell>
          <cell r="D88" t="str">
            <v>-  SYSTEM MANAGEMENT</v>
          </cell>
          <cell r="E88">
            <v>150500</v>
          </cell>
          <cell r="F88">
            <v>5000</v>
          </cell>
          <cell r="G88" t="str">
            <v>SET</v>
          </cell>
        </row>
        <row r="89">
          <cell r="C89">
            <v>182</v>
          </cell>
          <cell r="D89" t="str">
            <v>SPACE</v>
          </cell>
          <cell r="E89">
            <v>0</v>
          </cell>
          <cell r="F89">
            <v>7</v>
          </cell>
          <cell r="G89" t="str">
            <v>M.</v>
          </cell>
        </row>
        <row r="90">
          <cell r="C90">
            <v>184</v>
          </cell>
          <cell r="D90" t="str">
            <v>LOUDSPEAKER</v>
          </cell>
          <cell r="E90">
            <v>1012</v>
          </cell>
          <cell r="F90">
            <v>85</v>
          </cell>
          <cell r="G90" t="str">
            <v>M.</v>
          </cell>
        </row>
        <row r="91">
          <cell r="C91">
            <v>341</v>
          </cell>
          <cell r="D91" t="str">
            <v>-  3 W. CABINET SPEAKER</v>
          </cell>
          <cell r="E91">
            <v>2240</v>
          </cell>
          <cell r="F91">
            <v>200</v>
          </cell>
          <cell r="G91" t="str">
            <v>SET</v>
          </cell>
        </row>
        <row r="92">
          <cell r="C92">
            <v>342</v>
          </cell>
          <cell r="D92" t="str">
            <v>-  6 W. CABINET SPEAKER</v>
          </cell>
          <cell r="E92">
            <v>2310</v>
          </cell>
          <cell r="F92">
            <v>200</v>
          </cell>
          <cell r="G92" t="str">
            <v>SET</v>
          </cell>
        </row>
        <row r="93">
          <cell r="C93">
            <v>343</v>
          </cell>
          <cell r="D93" t="str">
            <v>-  12 W. (MAX) COLUMN SPEAKER</v>
          </cell>
          <cell r="E93">
            <v>10590</v>
          </cell>
          <cell r="F93">
            <v>100</v>
          </cell>
          <cell r="G93" t="str">
            <v>SET</v>
          </cell>
        </row>
        <row r="94">
          <cell r="C94">
            <v>344</v>
          </cell>
          <cell r="D94" t="str">
            <v>-  24 W (MAX) COLUMN SPEAKER</v>
          </cell>
          <cell r="E94">
            <v>14510</v>
          </cell>
          <cell r="F94">
            <v>100</v>
          </cell>
          <cell r="G94" t="str">
            <v>SET</v>
          </cell>
        </row>
        <row r="95">
          <cell r="C95">
            <v>345</v>
          </cell>
          <cell r="D95" t="str">
            <v>-  36 W.(MAX) COLUMN SPEAKER</v>
          </cell>
          <cell r="E95">
            <v>1499</v>
          </cell>
          <cell r="F95">
            <v>100</v>
          </cell>
          <cell r="G95" t="str">
            <v>SET</v>
          </cell>
        </row>
        <row r="96">
          <cell r="C96">
            <v>346</v>
          </cell>
          <cell r="D96" t="str">
            <v>-  12 W. CARDIOID COLUMN SPEAKER</v>
          </cell>
          <cell r="E96">
            <v>24000</v>
          </cell>
          <cell r="F96">
            <v>500</v>
          </cell>
          <cell r="G96" t="str">
            <v>SET</v>
          </cell>
        </row>
        <row r="97">
          <cell r="C97">
            <v>347</v>
          </cell>
          <cell r="D97" t="str">
            <v>-  24 W. CARDIOID COLUMN SPEAKER</v>
          </cell>
          <cell r="E97">
            <v>36000</v>
          </cell>
          <cell r="F97">
            <v>500</v>
          </cell>
          <cell r="G97" t="str">
            <v>SET</v>
          </cell>
        </row>
        <row r="98">
          <cell r="C98">
            <v>348</v>
          </cell>
          <cell r="D98" t="str">
            <v>-  30 W. CARDIOID COLUMN SPEAKER</v>
          </cell>
          <cell r="E98">
            <v>46000</v>
          </cell>
          <cell r="F98">
            <v>500</v>
          </cell>
          <cell r="G98" t="str">
            <v>SET</v>
          </cell>
        </row>
        <row r="99">
          <cell r="C99">
            <v>349</v>
          </cell>
          <cell r="D99" t="str">
            <v>-  36 W. CARDIOID COLUMN SPEAKER (OUT DOOR)</v>
          </cell>
          <cell r="E99">
            <v>52000</v>
          </cell>
          <cell r="F99">
            <v>500</v>
          </cell>
          <cell r="G99" t="str">
            <v>SET</v>
          </cell>
        </row>
        <row r="100">
          <cell r="C100" t="str">
            <v xml:space="preserve"> </v>
          </cell>
          <cell r="D100" t="str">
            <v>SPACE</v>
          </cell>
          <cell r="E100">
            <v>3500</v>
          </cell>
          <cell r="F100">
            <v>300</v>
          </cell>
          <cell r="G100" t="str">
            <v>M.</v>
          </cell>
        </row>
        <row r="101">
          <cell r="C101">
            <v>351</v>
          </cell>
          <cell r="D101" t="str">
            <v>-  6 W. PANEL SPEAKER</v>
          </cell>
          <cell r="E101">
            <v>3500</v>
          </cell>
          <cell r="F101">
            <v>100</v>
          </cell>
          <cell r="G101" t="str">
            <v>SET</v>
          </cell>
        </row>
        <row r="102">
          <cell r="C102">
            <v>352</v>
          </cell>
          <cell r="D102" t="str">
            <v>-  6 W. CEILING LOUD SPEAKER</v>
          </cell>
          <cell r="E102">
            <v>1900</v>
          </cell>
          <cell r="F102">
            <v>200</v>
          </cell>
          <cell r="G102" t="str">
            <v>SET</v>
          </cell>
        </row>
        <row r="103">
          <cell r="C103">
            <v>353</v>
          </cell>
          <cell r="D103" t="str">
            <v>-  24 W. PANEL CEILING SPEAKER</v>
          </cell>
          <cell r="E103">
            <v>0</v>
          </cell>
          <cell r="F103">
            <v>200</v>
          </cell>
          <cell r="G103" t="str">
            <v>SET</v>
          </cell>
        </row>
        <row r="104">
          <cell r="C104">
            <v>213</v>
          </cell>
          <cell r="D104" t="str">
            <v>SPACE</v>
          </cell>
          <cell r="E104">
            <v>8000</v>
          </cell>
          <cell r="F104">
            <v>1600</v>
          </cell>
          <cell r="G104" t="str">
            <v>M.</v>
          </cell>
        </row>
        <row r="105">
          <cell r="C105">
            <v>356</v>
          </cell>
          <cell r="D105" t="str">
            <v xml:space="preserve">-  6 W. B1-DIRECTIONAL SOUND PROJECTOR                       </v>
          </cell>
          <cell r="E105">
            <v>3570</v>
          </cell>
          <cell r="F105">
            <v>100</v>
          </cell>
          <cell r="G105" t="str">
            <v>SET</v>
          </cell>
        </row>
        <row r="106">
          <cell r="C106">
            <v>357</v>
          </cell>
          <cell r="D106" t="str">
            <v>-  6 W. SOUND PROJECTOR</v>
          </cell>
          <cell r="E106">
            <v>2950</v>
          </cell>
          <cell r="F106">
            <v>100</v>
          </cell>
          <cell r="G106" t="str">
            <v>SET</v>
          </cell>
        </row>
        <row r="107">
          <cell r="C107">
            <v>358</v>
          </cell>
          <cell r="D107" t="str">
            <v>-  10 W. SOUND PROJECTOR</v>
          </cell>
          <cell r="E107">
            <v>3810</v>
          </cell>
          <cell r="F107">
            <v>100</v>
          </cell>
          <cell r="G107" t="str">
            <v>SET</v>
          </cell>
        </row>
        <row r="108">
          <cell r="C108">
            <v>359</v>
          </cell>
          <cell r="D108" t="str">
            <v>-  10 W. PENDANT SPHERE SPEAKER</v>
          </cell>
          <cell r="E108">
            <v>3590</v>
          </cell>
          <cell r="F108">
            <v>100</v>
          </cell>
          <cell r="G108" t="str">
            <v>SET</v>
          </cell>
        </row>
        <row r="109">
          <cell r="C109">
            <v>360</v>
          </cell>
          <cell r="D109" t="str">
            <v>-  25 W. (MAX.) SOUND PROJECTOR</v>
          </cell>
          <cell r="E109">
            <v>0</v>
          </cell>
          <cell r="F109">
            <v>0</v>
          </cell>
          <cell r="G109" t="str">
            <v>SET</v>
          </cell>
        </row>
        <row r="110">
          <cell r="C110">
            <v>361</v>
          </cell>
          <cell r="D110" t="str">
            <v xml:space="preserve">-  25 W. (MAX.) SOUND PROJECTOR (OUTDOOR)                      </v>
          </cell>
          <cell r="E110">
            <v>0</v>
          </cell>
          <cell r="F110">
            <v>0</v>
          </cell>
          <cell r="G110" t="str">
            <v>SET</v>
          </cell>
        </row>
        <row r="111">
          <cell r="C111">
            <v>220</v>
          </cell>
          <cell r="D111" t="str">
            <v>SPACE</v>
          </cell>
          <cell r="E111">
            <v>36000</v>
          </cell>
          <cell r="F111">
            <v>7400</v>
          </cell>
          <cell r="G111" t="str">
            <v>M.</v>
          </cell>
        </row>
        <row r="112">
          <cell r="C112">
            <v>366</v>
          </cell>
          <cell r="D112" t="str">
            <v xml:space="preserve">-  10 W. HORN  </v>
          </cell>
          <cell r="E112">
            <v>4100</v>
          </cell>
          <cell r="F112">
            <v>100</v>
          </cell>
          <cell r="G112" t="str">
            <v>SET</v>
          </cell>
        </row>
        <row r="113">
          <cell r="C113">
            <v>367</v>
          </cell>
          <cell r="D113" t="str">
            <v>-  15 W. HORN</v>
          </cell>
          <cell r="E113">
            <v>0</v>
          </cell>
          <cell r="F113">
            <v>0</v>
          </cell>
          <cell r="G113" t="str">
            <v>SET</v>
          </cell>
        </row>
        <row r="114">
          <cell r="C114">
            <v>368</v>
          </cell>
          <cell r="D114" t="str">
            <v>-  20 W. HORN</v>
          </cell>
          <cell r="E114">
            <v>7370</v>
          </cell>
          <cell r="F114">
            <v>100</v>
          </cell>
          <cell r="G114" t="str">
            <v>SET</v>
          </cell>
        </row>
        <row r="115">
          <cell r="C115">
            <v>369</v>
          </cell>
          <cell r="D115" t="str">
            <v>-  30 W. HORN</v>
          </cell>
          <cell r="E115">
            <v>8380</v>
          </cell>
          <cell r="F115">
            <v>100</v>
          </cell>
          <cell r="G115" t="str">
            <v>SET</v>
          </cell>
        </row>
        <row r="116">
          <cell r="C116">
            <v>225</v>
          </cell>
          <cell r="D116" t="str">
            <v>SPACE</v>
          </cell>
          <cell r="E116">
            <v>100000</v>
          </cell>
          <cell r="F116">
            <v>20000</v>
          </cell>
          <cell r="G116" t="str">
            <v>M.</v>
          </cell>
        </row>
        <row r="117">
          <cell r="C117">
            <v>226</v>
          </cell>
          <cell r="D117" t="str">
            <v>-  MDF 3,000 PRS.</v>
          </cell>
          <cell r="E117">
            <v>120000</v>
          </cell>
          <cell r="F117">
            <v>24000</v>
          </cell>
          <cell r="G117" t="str">
            <v>M.</v>
          </cell>
        </row>
        <row r="118">
          <cell r="C118">
            <v>4</v>
          </cell>
          <cell r="D118" t="str">
            <v>LIGHTING CONTROL</v>
          </cell>
          <cell r="E118">
            <v>140000</v>
          </cell>
          <cell r="F118">
            <v>28000</v>
          </cell>
          <cell r="G118" t="str">
            <v>M.</v>
          </cell>
        </row>
        <row r="119">
          <cell r="C119">
            <v>228</v>
          </cell>
          <cell r="D119" t="str">
            <v>NATIONAL 2W. REMOTE CONTROL</v>
          </cell>
          <cell r="E119">
            <v>160000</v>
          </cell>
          <cell r="F119">
            <v>32000</v>
          </cell>
          <cell r="G119" t="str">
            <v>M.</v>
          </cell>
        </row>
        <row r="120">
          <cell r="C120">
            <v>229</v>
          </cell>
          <cell r="D120" t="str">
            <v>-  2 W, NATIONAL</v>
          </cell>
          <cell r="E120">
            <v>180000</v>
          </cell>
          <cell r="F120">
            <v>36000</v>
          </cell>
          <cell r="G120" t="str">
            <v>M.</v>
          </cell>
        </row>
        <row r="121">
          <cell r="C121">
            <v>230</v>
          </cell>
          <cell r="D121" t="str">
            <v>-  DILITE</v>
          </cell>
          <cell r="E121">
            <v>200000</v>
          </cell>
          <cell r="F121">
            <v>40000</v>
          </cell>
          <cell r="G121" t="str">
            <v>SET</v>
          </cell>
        </row>
        <row r="122">
          <cell r="C122">
            <v>401</v>
          </cell>
          <cell r="D122" t="str">
            <v>-  TRANSMISSION UNIT</v>
          </cell>
          <cell r="E122">
            <v>25200</v>
          </cell>
          <cell r="F122">
            <v>500</v>
          </cell>
          <cell r="G122" t="str">
            <v>SET</v>
          </cell>
        </row>
        <row r="123">
          <cell r="C123">
            <v>402</v>
          </cell>
          <cell r="D123" t="str">
            <v>-  TRANSFORMER</v>
          </cell>
          <cell r="E123">
            <v>4650</v>
          </cell>
          <cell r="F123">
            <v>200</v>
          </cell>
          <cell r="G123" t="str">
            <v>SET</v>
          </cell>
        </row>
        <row r="124">
          <cell r="C124">
            <v>403</v>
          </cell>
          <cell r="D124" t="str">
            <v>-  CONTACT INPUT TERMINAL UNIT</v>
          </cell>
          <cell r="E124">
            <v>5960</v>
          </cell>
          <cell r="F124">
            <v>200</v>
          </cell>
          <cell r="G124" t="str">
            <v>SET</v>
          </cell>
        </row>
        <row r="125">
          <cell r="C125">
            <v>404</v>
          </cell>
          <cell r="D125" t="str">
            <v>-  PATTERN SWITCH (4 PATTERN)</v>
          </cell>
          <cell r="E125">
            <v>2830</v>
          </cell>
          <cell r="F125">
            <v>200</v>
          </cell>
          <cell r="G125" t="str">
            <v>SET</v>
          </cell>
        </row>
        <row r="126">
          <cell r="C126">
            <v>405</v>
          </cell>
          <cell r="D126" t="str">
            <v xml:space="preserve">-  PATTERN SETTING SWITCH </v>
          </cell>
          <cell r="E126">
            <v>2830</v>
          </cell>
          <cell r="F126">
            <v>200</v>
          </cell>
          <cell r="G126" t="str">
            <v>SET</v>
          </cell>
        </row>
        <row r="127">
          <cell r="C127">
            <v>406</v>
          </cell>
          <cell r="D127" t="str">
            <v>-  ZONE PATTERN SWITCH (3 PATTERN)</v>
          </cell>
          <cell r="E127">
            <v>2900</v>
          </cell>
          <cell r="F127">
            <v>200</v>
          </cell>
          <cell r="G127" t="str">
            <v>SET</v>
          </cell>
        </row>
        <row r="128">
          <cell r="C128">
            <v>407</v>
          </cell>
          <cell r="D128" t="str">
            <v>-  GROUP SWITCH 1 GROUP</v>
          </cell>
          <cell r="E128">
            <v>2450</v>
          </cell>
          <cell r="F128">
            <v>200</v>
          </cell>
          <cell r="G128" t="str">
            <v>SET</v>
          </cell>
        </row>
        <row r="129">
          <cell r="C129">
            <v>408</v>
          </cell>
          <cell r="D129" t="str">
            <v>-  GROUP SWITCH 4 GROUP</v>
          </cell>
          <cell r="E129">
            <v>3050</v>
          </cell>
          <cell r="F129">
            <v>200</v>
          </cell>
          <cell r="G129" t="str">
            <v>SET</v>
          </cell>
        </row>
        <row r="130">
          <cell r="C130">
            <v>409</v>
          </cell>
          <cell r="D130" t="str">
            <v xml:space="preserve">-  GROUP SETTING SWITCH </v>
          </cell>
          <cell r="E130">
            <v>2830</v>
          </cell>
          <cell r="F130">
            <v>200</v>
          </cell>
          <cell r="G130" t="str">
            <v>SET</v>
          </cell>
        </row>
        <row r="131">
          <cell r="C131">
            <v>410</v>
          </cell>
          <cell r="D131" t="str">
            <v>-  TIMER SETTING UNIT</v>
          </cell>
          <cell r="E131">
            <v>54400</v>
          </cell>
          <cell r="F131">
            <v>200</v>
          </cell>
          <cell r="G131" t="str">
            <v>SET</v>
          </cell>
        </row>
        <row r="132">
          <cell r="C132">
            <v>411</v>
          </cell>
          <cell r="D132" t="str">
            <v>-  HID RELAY 20A. (SINGLE POLE)</v>
          </cell>
          <cell r="E132">
            <v>1420</v>
          </cell>
          <cell r="F132">
            <v>100</v>
          </cell>
          <cell r="G132" t="str">
            <v>SET</v>
          </cell>
        </row>
        <row r="133">
          <cell r="C133">
            <v>412</v>
          </cell>
          <cell r="D133" t="str">
            <v>-  HID RELAY 20A. (DOUBLE POLE)</v>
          </cell>
          <cell r="E133">
            <v>2870</v>
          </cell>
          <cell r="F133">
            <v>100</v>
          </cell>
          <cell r="G133" t="str">
            <v>SET</v>
          </cell>
        </row>
        <row r="134">
          <cell r="C134">
            <v>413</v>
          </cell>
          <cell r="D134" t="str">
            <v>-  RELAY CONTROL T/U (4 CIRCUIT)</v>
          </cell>
          <cell r="E134">
            <v>4100</v>
          </cell>
          <cell r="F134">
            <v>200</v>
          </cell>
          <cell r="G134" t="str">
            <v>SET</v>
          </cell>
        </row>
        <row r="135">
          <cell r="C135">
            <v>414</v>
          </cell>
          <cell r="D135" t="str">
            <v>-  RELAY CONTROL T/U (1 CIRCUIT)</v>
          </cell>
          <cell r="E135">
            <v>2600</v>
          </cell>
          <cell r="F135">
            <v>200</v>
          </cell>
          <cell r="G135" t="str">
            <v>SET</v>
          </cell>
        </row>
        <row r="136">
          <cell r="C136">
            <v>415</v>
          </cell>
          <cell r="D136" t="str">
            <v>-  6A. CONTACT OUTPUT T/U (4 CIRCUIT)</v>
          </cell>
          <cell r="E136">
            <v>6350</v>
          </cell>
          <cell r="F136">
            <v>200</v>
          </cell>
          <cell r="G136" t="str">
            <v>SET</v>
          </cell>
        </row>
        <row r="137">
          <cell r="C137">
            <v>416</v>
          </cell>
          <cell r="D137" t="str">
            <v>-  6A. CONTACT OUTPUT T/U (1 CIRCUIT)</v>
          </cell>
          <cell r="E137">
            <v>3100</v>
          </cell>
          <cell r="F137">
            <v>200</v>
          </cell>
          <cell r="G137" t="str">
            <v>SET</v>
          </cell>
        </row>
        <row r="138">
          <cell r="C138">
            <v>417</v>
          </cell>
          <cell r="D138" t="str">
            <v>-  INTERFACE</v>
          </cell>
          <cell r="E138">
            <v>133900</v>
          </cell>
          <cell r="F138">
            <v>0</v>
          </cell>
          <cell r="G138" t="str">
            <v>SET</v>
          </cell>
        </row>
        <row r="139">
          <cell r="C139">
            <v>418</v>
          </cell>
          <cell r="D139" t="str">
            <v>-  AMPLIFIER</v>
          </cell>
          <cell r="E139">
            <v>8230</v>
          </cell>
          <cell r="F139">
            <v>200</v>
          </cell>
          <cell r="G139" t="str">
            <v>SET</v>
          </cell>
        </row>
        <row r="140">
          <cell r="C140">
            <v>419</v>
          </cell>
          <cell r="D140" t="str">
            <v>-  WIRE LESS PANEL UNIT</v>
          </cell>
          <cell r="E140">
            <v>7500</v>
          </cell>
          <cell r="F140">
            <v>200</v>
          </cell>
          <cell r="G140" t="str">
            <v>SET</v>
          </cell>
        </row>
        <row r="141">
          <cell r="C141">
            <v>420</v>
          </cell>
          <cell r="D141" t="str">
            <v>-  WIRE LESS 4 SWITCH</v>
          </cell>
          <cell r="E141">
            <v>3500</v>
          </cell>
          <cell r="F141">
            <v>200</v>
          </cell>
          <cell r="G141" t="str">
            <v>SET</v>
          </cell>
        </row>
        <row r="142">
          <cell r="C142">
            <v>254</v>
          </cell>
          <cell r="D142" t="str">
            <v>SPACE</v>
          </cell>
          <cell r="E142">
            <v>0</v>
          </cell>
          <cell r="F142">
            <v>0</v>
          </cell>
          <cell r="G142" t="str">
            <v>M.</v>
          </cell>
        </row>
        <row r="143">
          <cell r="C143" t="str">
            <v xml:space="preserve"> </v>
          </cell>
          <cell r="D143" t="str">
            <v xml:space="preserve">   DILITE LIGHTING CONTROL</v>
          </cell>
          <cell r="E143">
            <v>0</v>
          </cell>
          <cell r="F143">
            <v>0</v>
          </cell>
          <cell r="G143" t="str">
            <v>M.</v>
          </cell>
        </row>
        <row r="144">
          <cell r="C144">
            <v>432</v>
          </cell>
          <cell r="D144" t="str">
            <v>-  BOX RELAY</v>
          </cell>
          <cell r="E144">
            <v>9650</v>
          </cell>
          <cell r="F144">
            <v>250</v>
          </cell>
          <cell r="G144" t="str">
            <v>SET</v>
          </cell>
        </row>
        <row r="145">
          <cell r="C145">
            <v>433</v>
          </cell>
          <cell r="D145" t="str">
            <v>-  SWITCH TIMER</v>
          </cell>
          <cell r="E145">
            <v>1750</v>
          </cell>
          <cell r="F145">
            <v>250</v>
          </cell>
          <cell r="G145" t="str">
            <v>SET</v>
          </cell>
        </row>
        <row r="146">
          <cell r="C146">
            <v>434</v>
          </cell>
          <cell r="D146" t="str">
            <v>-  SWITCH 8</v>
          </cell>
          <cell r="E146">
            <v>1450</v>
          </cell>
          <cell r="F146">
            <v>250</v>
          </cell>
          <cell r="G146" t="str">
            <v>SET</v>
          </cell>
        </row>
        <row r="147">
          <cell r="C147">
            <v>435</v>
          </cell>
          <cell r="D147" t="str">
            <v>-  SWITCH 8 PLUS INFRARED</v>
          </cell>
          <cell r="E147">
            <v>1650</v>
          </cell>
          <cell r="F147">
            <v>250</v>
          </cell>
          <cell r="G147" t="str">
            <v>SET</v>
          </cell>
        </row>
        <row r="148">
          <cell r="C148">
            <v>436</v>
          </cell>
          <cell r="D148" t="str">
            <v>-  SWITCH ZONE</v>
          </cell>
          <cell r="E148">
            <v>1950</v>
          </cell>
          <cell r="F148">
            <v>250</v>
          </cell>
          <cell r="G148" t="str">
            <v>SET</v>
          </cell>
        </row>
        <row r="149">
          <cell r="C149">
            <v>437</v>
          </cell>
          <cell r="D149" t="str">
            <v>-  SWITCH ZONE PLUS INFRARED</v>
          </cell>
          <cell r="E149">
            <v>2150</v>
          </cell>
          <cell r="F149">
            <v>250</v>
          </cell>
          <cell r="G149" t="str">
            <v>SET</v>
          </cell>
        </row>
        <row r="150">
          <cell r="C150">
            <v>438</v>
          </cell>
          <cell r="D150" t="str">
            <v>-  ADAPTER SWITCH</v>
          </cell>
          <cell r="E150">
            <v>1400</v>
          </cell>
          <cell r="F150">
            <v>250</v>
          </cell>
          <cell r="G150" t="str">
            <v>SET</v>
          </cell>
        </row>
        <row r="151">
          <cell r="C151">
            <v>439</v>
          </cell>
          <cell r="D151" t="str">
            <v>-  PHONE CONTROL PLUS</v>
          </cell>
          <cell r="E151">
            <v>3550</v>
          </cell>
          <cell r="F151">
            <v>250</v>
          </cell>
          <cell r="G151" t="str">
            <v>SET</v>
          </cell>
        </row>
        <row r="152">
          <cell r="C152">
            <v>440</v>
          </cell>
          <cell r="D152" t="str">
            <v>-  INFRARED RECEIVER</v>
          </cell>
          <cell r="E152">
            <v>1400</v>
          </cell>
          <cell r="F152">
            <v>250</v>
          </cell>
          <cell r="G152" t="str">
            <v>SET</v>
          </cell>
        </row>
        <row r="153">
          <cell r="C153">
            <v>441</v>
          </cell>
          <cell r="D153" t="str">
            <v>-  REMOTE ALARM</v>
          </cell>
          <cell r="E153">
            <v>1500</v>
          </cell>
          <cell r="F153">
            <v>250</v>
          </cell>
          <cell r="G153" t="str">
            <v>SET</v>
          </cell>
        </row>
        <row r="154">
          <cell r="C154">
            <v>442</v>
          </cell>
          <cell r="D154" t="str">
            <v>-  REMOTE ALARM WITH INDICATOR</v>
          </cell>
          <cell r="E154">
            <v>3400</v>
          </cell>
          <cell r="F154">
            <v>250</v>
          </cell>
          <cell r="G154" t="str">
            <v>SET</v>
          </cell>
        </row>
        <row r="155">
          <cell r="C155">
            <v>443</v>
          </cell>
          <cell r="D155" t="str">
            <v>-  COMPUTER CONTROL</v>
          </cell>
          <cell r="E155">
            <v>2600</v>
          </cell>
          <cell r="F155">
            <v>250</v>
          </cell>
          <cell r="G155" t="str">
            <v>SET</v>
          </cell>
        </row>
        <row r="156">
          <cell r="C156">
            <v>444</v>
          </cell>
          <cell r="D156" t="str">
            <v>-  SWITCH PROGRAMMABLE</v>
          </cell>
          <cell r="E156">
            <v>3100</v>
          </cell>
          <cell r="F156">
            <v>250</v>
          </cell>
          <cell r="G156" t="str">
            <v>SET</v>
          </cell>
        </row>
        <row r="157">
          <cell r="C157">
            <v>445</v>
          </cell>
          <cell r="D157" t="str">
            <v>-  ADAPTER PROGRAMMABLE</v>
          </cell>
          <cell r="E157">
            <v>2700</v>
          </cell>
          <cell r="F157">
            <v>250</v>
          </cell>
          <cell r="G157" t="str">
            <v>SET</v>
          </cell>
        </row>
        <row r="158">
          <cell r="C158">
            <v>446</v>
          </cell>
          <cell r="D158" t="str">
            <v>-  TEMPERATURE FARM</v>
          </cell>
          <cell r="E158">
            <v>3200</v>
          </cell>
          <cell r="F158">
            <v>250</v>
          </cell>
          <cell r="G158" t="str">
            <v>SET</v>
          </cell>
        </row>
        <row r="159">
          <cell r="C159">
            <v>447</v>
          </cell>
          <cell r="D159" t="str">
            <v>-  TEMPERATURE AIR/RELAY</v>
          </cell>
          <cell r="E159">
            <v>2800</v>
          </cell>
          <cell r="F159">
            <v>250</v>
          </cell>
          <cell r="G159" t="str">
            <v>SET</v>
          </cell>
        </row>
        <row r="160">
          <cell r="C160">
            <v>448</v>
          </cell>
          <cell r="D160" t="str">
            <v>-  20 A. RELAY</v>
          </cell>
          <cell r="E160">
            <v>500</v>
          </cell>
          <cell r="F160">
            <v>100</v>
          </cell>
          <cell r="G160" t="str">
            <v>SET</v>
          </cell>
        </row>
        <row r="161">
          <cell r="C161">
            <v>255</v>
          </cell>
          <cell r="D161" t="str">
            <v>SPACE</v>
          </cell>
          <cell r="E161">
            <v>228</v>
          </cell>
          <cell r="F161">
            <v>35</v>
          </cell>
          <cell r="G161" t="str">
            <v>M.</v>
          </cell>
        </row>
        <row r="162">
          <cell r="C162">
            <v>5</v>
          </cell>
          <cell r="D162" t="str">
            <v>ACCESS, CONTROL</v>
          </cell>
          <cell r="E162">
            <v>280</v>
          </cell>
          <cell r="F162">
            <v>70</v>
          </cell>
          <cell r="G162" t="str">
            <v>SET</v>
          </cell>
        </row>
        <row r="163">
          <cell r="C163">
            <v>501</v>
          </cell>
          <cell r="D163" t="str">
            <v>-  CONTROLLER</v>
          </cell>
          <cell r="E163">
            <v>33000</v>
          </cell>
          <cell r="F163">
            <v>9000</v>
          </cell>
          <cell r="G163" t="str">
            <v>SET</v>
          </cell>
        </row>
        <row r="164">
          <cell r="C164">
            <v>502</v>
          </cell>
          <cell r="D164" t="str">
            <v>-  DOOR STRIKE WITH DOOR LATCH</v>
          </cell>
          <cell r="E164">
            <v>6000</v>
          </cell>
          <cell r="F164">
            <v>1000</v>
          </cell>
          <cell r="G164" t="str">
            <v>SET</v>
          </cell>
        </row>
        <row r="165">
          <cell r="C165">
            <v>503</v>
          </cell>
          <cell r="D165" t="str">
            <v>-  POWER SUPPLY WITH BATTERY CHARGER</v>
          </cell>
          <cell r="E165">
            <v>2000</v>
          </cell>
          <cell r="F165">
            <v>500</v>
          </cell>
          <cell r="G165" t="str">
            <v>SET</v>
          </cell>
        </row>
        <row r="166">
          <cell r="C166">
            <v>504</v>
          </cell>
          <cell r="D166" t="str">
            <v>-  EXIT BUTTON</v>
          </cell>
          <cell r="E166">
            <v>500</v>
          </cell>
          <cell r="F166">
            <v>300</v>
          </cell>
          <cell r="G166" t="str">
            <v>SET</v>
          </cell>
        </row>
        <row r="167">
          <cell r="C167">
            <v>505</v>
          </cell>
          <cell r="D167" t="str">
            <v>-  ELECTROMAGNETIC LOCK</v>
          </cell>
          <cell r="E167">
            <v>10000</v>
          </cell>
          <cell r="F167">
            <v>1000</v>
          </cell>
          <cell r="G167" t="str">
            <v>SET</v>
          </cell>
        </row>
        <row r="168">
          <cell r="C168">
            <v>317</v>
          </cell>
          <cell r="D168" t="str">
            <v>SPACE</v>
          </cell>
          <cell r="E168">
            <v>1140</v>
          </cell>
          <cell r="F168">
            <v>300</v>
          </cell>
          <cell r="G168" t="str">
            <v>SET</v>
          </cell>
        </row>
        <row r="169">
          <cell r="C169">
            <v>318</v>
          </cell>
          <cell r="D169" t="str">
            <v>CARD READER</v>
          </cell>
          <cell r="E169">
            <v>1050</v>
          </cell>
          <cell r="F169">
            <v>300</v>
          </cell>
          <cell r="G169" t="str">
            <v>SET</v>
          </cell>
        </row>
        <row r="170">
          <cell r="C170">
            <v>511</v>
          </cell>
          <cell r="D170" t="str">
            <v>-  MAGNETIC CARD READER</v>
          </cell>
          <cell r="E170">
            <v>6000</v>
          </cell>
          <cell r="F170">
            <v>1000</v>
          </cell>
          <cell r="G170" t="str">
            <v>SET</v>
          </cell>
        </row>
        <row r="171">
          <cell r="C171">
            <v>512</v>
          </cell>
          <cell r="D171" t="str">
            <v>-  MAGNETIC INSERT READER</v>
          </cell>
          <cell r="E171">
            <v>8500</v>
          </cell>
          <cell r="F171">
            <v>1000</v>
          </cell>
          <cell r="G171" t="str">
            <v>SET</v>
          </cell>
        </row>
        <row r="172">
          <cell r="C172">
            <v>513</v>
          </cell>
          <cell r="D172" t="str">
            <v>-  BAR CODE READER</v>
          </cell>
          <cell r="E172">
            <v>7000</v>
          </cell>
          <cell r="F172">
            <v>1000</v>
          </cell>
          <cell r="G172" t="str">
            <v>SET</v>
          </cell>
        </row>
        <row r="173">
          <cell r="C173">
            <v>514</v>
          </cell>
          <cell r="D173" t="str">
            <v xml:space="preserve">-  KEYPAD, METAL CASING WATERPROOF </v>
          </cell>
          <cell r="E173">
            <v>4800</v>
          </cell>
          <cell r="F173">
            <v>1000</v>
          </cell>
          <cell r="G173" t="str">
            <v>SET</v>
          </cell>
        </row>
        <row r="174">
          <cell r="C174">
            <v>515</v>
          </cell>
          <cell r="D174" t="str">
            <v>-  MAGNETIC CARD READER WITH KEY PAD &amp; DISPLAY</v>
          </cell>
          <cell r="E174">
            <v>7000</v>
          </cell>
          <cell r="F174">
            <v>1000</v>
          </cell>
          <cell r="G174" t="str">
            <v>SET</v>
          </cell>
        </row>
        <row r="175">
          <cell r="C175">
            <v>516</v>
          </cell>
          <cell r="D175" t="str">
            <v>-  BAR CODE READER</v>
          </cell>
          <cell r="E175">
            <v>7000</v>
          </cell>
          <cell r="F175">
            <v>1000</v>
          </cell>
          <cell r="G175" t="str">
            <v>SET</v>
          </cell>
        </row>
        <row r="176">
          <cell r="C176">
            <v>517</v>
          </cell>
          <cell r="D176" t="str">
            <v>-  SMART CARD READER WITH KEY PAD &amp; DISPLAY</v>
          </cell>
          <cell r="E176" t="str">
            <v>(ON REQ)</v>
          </cell>
          <cell r="F176">
            <v>0</v>
          </cell>
          <cell r="G176" t="str">
            <v>SET</v>
          </cell>
        </row>
        <row r="177">
          <cell r="C177">
            <v>328</v>
          </cell>
          <cell r="D177" t="str">
            <v>SPACE</v>
          </cell>
          <cell r="E177">
            <v>55</v>
          </cell>
          <cell r="F177">
            <v>5</v>
          </cell>
          <cell r="G177" t="str">
            <v>M.</v>
          </cell>
        </row>
        <row r="178">
          <cell r="C178">
            <v>329</v>
          </cell>
          <cell r="D178" t="str">
            <v>CARD</v>
          </cell>
          <cell r="E178">
            <v>20</v>
          </cell>
          <cell r="F178">
            <v>2</v>
          </cell>
          <cell r="G178" t="str">
            <v>M.</v>
          </cell>
        </row>
        <row r="179">
          <cell r="C179">
            <v>521</v>
          </cell>
          <cell r="D179" t="str">
            <v>-  CUSTOMER LOGO CARD</v>
          </cell>
          <cell r="E179">
            <v>100</v>
          </cell>
          <cell r="F179">
            <v>0</v>
          </cell>
          <cell r="G179" t="str">
            <v>SET</v>
          </cell>
        </row>
        <row r="180">
          <cell r="C180">
            <v>331</v>
          </cell>
          <cell r="D180" t="str">
            <v>SPACE</v>
          </cell>
          <cell r="E180">
            <v>30</v>
          </cell>
          <cell r="F180">
            <v>4</v>
          </cell>
          <cell r="G180" t="str">
            <v>M.</v>
          </cell>
        </row>
        <row r="181">
          <cell r="C181">
            <v>332</v>
          </cell>
          <cell r="D181" t="str">
            <v>COMMUNICATOR</v>
          </cell>
          <cell r="E181">
            <v>25</v>
          </cell>
          <cell r="F181">
            <v>3</v>
          </cell>
          <cell r="G181" t="str">
            <v>M.</v>
          </cell>
        </row>
        <row r="182">
          <cell r="C182">
            <v>526</v>
          </cell>
          <cell r="D182" t="str">
            <v>-  SERIAL COMMUNICATOR LINK UP TO 16 CONTROLLERS</v>
          </cell>
          <cell r="E182">
            <v>15000</v>
          </cell>
          <cell r="F182">
            <v>5000</v>
          </cell>
          <cell r="G182" t="str">
            <v>SET</v>
          </cell>
        </row>
        <row r="183">
          <cell r="C183">
            <v>527</v>
          </cell>
          <cell r="D183" t="str">
            <v>-  PARALLEL COMMUNICATOR LINK UP TO 16 CONTROLLERS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-  INTELLIGENT COMMUNICATOR LINK UP TO 64 CONTROLLERS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336</v>
          </cell>
          <cell r="D185" t="str">
            <v>SOFTWARE MANAGEMENT</v>
          </cell>
          <cell r="E185">
            <v>140</v>
          </cell>
          <cell r="F185">
            <v>8</v>
          </cell>
          <cell r="G185" t="str">
            <v>M.</v>
          </cell>
        </row>
        <row r="186">
          <cell r="C186">
            <v>337</v>
          </cell>
          <cell r="D186" t="str">
            <v>-  16 CONTROLLERS ACCESS CONTROL MANAGEMENT</v>
          </cell>
          <cell r="E186">
            <v>22000</v>
          </cell>
          <cell r="F186">
            <v>10000</v>
          </cell>
          <cell r="G186" t="str">
            <v>SET</v>
          </cell>
        </row>
        <row r="187">
          <cell r="C187">
            <v>338</v>
          </cell>
          <cell r="D187" t="str">
            <v>-  64 CONTROLLERS ACCESS CONTROL MANAGEMENT</v>
          </cell>
          <cell r="E187">
            <v>35000</v>
          </cell>
          <cell r="F187">
            <v>15000</v>
          </cell>
          <cell r="G187" t="str">
            <v>SET</v>
          </cell>
        </row>
        <row r="188">
          <cell r="C188">
            <v>339</v>
          </cell>
          <cell r="D188" t="str">
            <v>-  18/C - 62.5/125 FIBER OPTIC, TIGHT BUFFER</v>
          </cell>
          <cell r="E188">
            <v>478</v>
          </cell>
          <cell r="F188">
            <v>20</v>
          </cell>
          <cell r="G188" t="str">
            <v>M.</v>
          </cell>
        </row>
        <row r="189">
          <cell r="C189">
            <v>340</v>
          </cell>
          <cell r="D189" t="str">
            <v>-  24/C - 62.5/125 FIBER OPTIC, TIGHT BUFFER</v>
          </cell>
          <cell r="E189">
            <v>637</v>
          </cell>
          <cell r="F189">
            <v>25</v>
          </cell>
          <cell r="G189" t="str">
            <v>M.</v>
          </cell>
        </row>
        <row r="190">
          <cell r="C190">
            <v>341</v>
          </cell>
          <cell r="D190" t="str">
            <v>-  36/C - 62.5/125 FIBER OPTIC, TIGHT BUFFER</v>
          </cell>
          <cell r="E190">
            <v>960</v>
          </cell>
          <cell r="F190">
            <v>30</v>
          </cell>
          <cell r="G190" t="str">
            <v>M.</v>
          </cell>
        </row>
        <row r="191">
          <cell r="C191">
            <v>342</v>
          </cell>
          <cell r="D191" t="str">
            <v>-  2/C - 62.5/125 FIBER OPTIC, LOOSE BUFFER, SINGLE JACKET</v>
          </cell>
          <cell r="E191">
            <v>100</v>
          </cell>
          <cell r="F191">
            <v>10</v>
          </cell>
          <cell r="G191" t="str">
            <v>M.</v>
          </cell>
        </row>
        <row r="192">
          <cell r="C192">
            <v>343</v>
          </cell>
          <cell r="D192" t="str">
            <v>-  4/C - 62.5/125 FIBER OPTIC, LOOSE BUFFER, SINGLE JACKET</v>
          </cell>
          <cell r="E192">
            <v>130</v>
          </cell>
          <cell r="F192">
            <v>13</v>
          </cell>
          <cell r="G192" t="str">
            <v>M.</v>
          </cell>
        </row>
        <row r="193">
          <cell r="C193">
            <v>344</v>
          </cell>
          <cell r="D193" t="str">
            <v>-  6/C - 62.5/125 FIBER OPTIC, LOOSE BUFFER, SINGLE JACKET</v>
          </cell>
          <cell r="E193">
            <v>165</v>
          </cell>
          <cell r="F193">
            <v>16</v>
          </cell>
          <cell r="G193" t="str">
            <v>M.</v>
          </cell>
        </row>
        <row r="194">
          <cell r="C194">
            <v>345</v>
          </cell>
          <cell r="D194" t="str">
            <v>-  8/C - 62.5/125 FIBER OPTIC, LOOSE BUFFER, SINGLE JACKET</v>
          </cell>
          <cell r="E194">
            <v>203</v>
          </cell>
          <cell r="F194">
            <v>20</v>
          </cell>
          <cell r="G194" t="str">
            <v>M.</v>
          </cell>
        </row>
        <row r="195">
          <cell r="C195">
            <v>346</v>
          </cell>
          <cell r="D195" t="str">
            <v>-  10/C - 62.5/125 FIBER OPTIC, LOOSE BUFFER, SINGLE JACKET</v>
          </cell>
          <cell r="E195">
            <v>250</v>
          </cell>
          <cell r="F195">
            <v>25</v>
          </cell>
          <cell r="G195" t="str">
            <v>M.</v>
          </cell>
        </row>
        <row r="196">
          <cell r="C196">
            <v>347</v>
          </cell>
          <cell r="D196" t="str">
            <v>-  12/C - 62.5/125 FIBER OPTIC, LOOSE BUFFER, SINGLE JACKET</v>
          </cell>
          <cell r="E196">
            <v>273</v>
          </cell>
          <cell r="F196">
            <v>27</v>
          </cell>
          <cell r="G196" t="str">
            <v>M.</v>
          </cell>
        </row>
        <row r="197">
          <cell r="C197">
            <v>348</v>
          </cell>
          <cell r="D197" t="str">
            <v>-  18/C - 62.5/125 FIBER OPTIC, LOOSE BUFFER, SINGLE JACKET</v>
          </cell>
          <cell r="E197">
            <v>390</v>
          </cell>
          <cell r="F197">
            <v>35</v>
          </cell>
          <cell r="G197" t="str">
            <v>M.</v>
          </cell>
        </row>
        <row r="198">
          <cell r="C198">
            <v>349</v>
          </cell>
          <cell r="D198" t="str">
            <v>-  24/C - 62.5/125 FIBER OPTIC, LOOSE BUFFER, SINGLE JACKET</v>
          </cell>
          <cell r="E198">
            <v>500</v>
          </cell>
          <cell r="F198">
            <v>40</v>
          </cell>
          <cell r="G198" t="str">
            <v>M.</v>
          </cell>
        </row>
        <row r="199">
          <cell r="C199">
            <v>350</v>
          </cell>
          <cell r="D199" t="str">
            <v>-  36/C - 62.5/125 FIBER OPTIC, LOOSE BUFFER, SINGLE JACKET</v>
          </cell>
          <cell r="E199">
            <v>760</v>
          </cell>
          <cell r="F199">
            <v>55</v>
          </cell>
          <cell r="G199" t="str">
            <v>M.</v>
          </cell>
        </row>
        <row r="200">
          <cell r="C200">
            <v>351</v>
          </cell>
          <cell r="D200" t="str">
            <v>-  48/C - 62.5/125 FIBER OPTIC, LOOSE BUFFER, SINGLE JACKET</v>
          </cell>
          <cell r="E200">
            <v>1005</v>
          </cell>
          <cell r="F200">
            <v>70</v>
          </cell>
          <cell r="G200" t="str">
            <v>M.</v>
          </cell>
        </row>
        <row r="201">
          <cell r="C201">
            <v>352</v>
          </cell>
          <cell r="D201" t="str">
            <v>-  60/C - 62.5/125 FIBER OPTIC, LOOSE BUFFER, SINGLE JACKET</v>
          </cell>
          <cell r="E201">
            <v>1256</v>
          </cell>
          <cell r="F201">
            <v>80</v>
          </cell>
          <cell r="G201" t="str">
            <v>M.</v>
          </cell>
        </row>
        <row r="202">
          <cell r="C202">
            <v>353</v>
          </cell>
          <cell r="D202" t="str">
            <v>-  72/C - 62.5/125 FIBER OPTIC, LOOSE BUFFER, SINGLE JACKET</v>
          </cell>
          <cell r="E202">
            <v>1503</v>
          </cell>
          <cell r="F202">
            <v>90</v>
          </cell>
          <cell r="G202" t="str">
            <v>M.</v>
          </cell>
        </row>
        <row r="203">
          <cell r="C203">
            <v>354</v>
          </cell>
          <cell r="D203" t="str">
            <v>-  2/C - 62.5/125 FIBER OPTIC, LOOSE BUFFER, DOUBLE JACKET</v>
          </cell>
          <cell r="E203">
            <v>105</v>
          </cell>
          <cell r="F203">
            <v>12</v>
          </cell>
          <cell r="G203" t="str">
            <v>M.</v>
          </cell>
        </row>
        <row r="204">
          <cell r="C204">
            <v>355</v>
          </cell>
          <cell r="D204" t="str">
            <v>-  4/C - 62.5/125 FIBER OPTIC, LOOSE BUFFER, DOUBLE JACKET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-  6/C - 62.5/125 FIBER OPTIC, LOOSE BUFFER, DOUBLE JACKET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357</v>
          </cell>
          <cell r="D206" t="str">
            <v>-  8/C - 62.5/125 FIBER OPTIC, LOOSE BUFFER, DOUBLE JACKET</v>
          </cell>
          <cell r="E206">
            <v>230</v>
          </cell>
          <cell r="F206">
            <v>22</v>
          </cell>
          <cell r="G206" t="str">
            <v>M.</v>
          </cell>
        </row>
        <row r="207">
          <cell r="C207">
            <v>358</v>
          </cell>
          <cell r="D207" t="str">
            <v>-  10/C - 62.5/125 FIBER OPTIC, LOOSE BUFFER, DOUBLE JACKET</v>
          </cell>
          <cell r="E207">
            <v>261</v>
          </cell>
          <cell r="F207">
            <v>27</v>
          </cell>
          <cell r="G207" t="str">
            <v>M.</v>
          </cell>
        </row>
        <row r="208">
          <cell r="C208">
            <v>359</v>
          </cell>
          <cell r="D208" t="str">
            <v>-  12/C - 62.5/125 FIBER OPTIC, LOOSE BUFFER, DOUBLE JACKET</v>
          </cell>
          <cell r="E208">
            <v>290</v>
          </cell>
          <cell r="F208">
            <v>30</v>
          </cell>
          <cell r="G208" t="str">
            <v>M.</v>
          </cell>
        </row>
        <row r="209">
          <cell r="C209">
            <v>360</v>
          </cell>
          <cell r="D209" t="str">
            <v>-  18/C - 62.5/125 FIBER OPTIC, LOOSE BUFFER, DOUBLE JACKET</v>
          </cell>
          <cell r="E209">
            <v>402</v>
          </cell>
          <cell r="F209">
            <v>38</v>
          </cell>
          <cell r="G209" t="str">
            <v>M.</v>
          </cell>
        </row>
        <row r="210">
          <cell r="C210">
            <v>361</v>
          </cell>
          <cell r="D210" t="str">
            <v>-  24/C - 62.5/125 FIBER OPTIC, LOOSE BUFFER, DOUBLE JACKET</v>
          </cell>
          <cell r="E210">
            <v>511</v>
          </cell>
          <cell r="F210">
            <v>43</v>
          </cell>
          <cell r="G210" t="str">
            <v>M.</v>
          </cell>
        </row>
        <row r="211">
          <cell r="C211">
            <v>362</v>
          </cell>
          <cell r="D211" t="str">
            <v>-  36/C - 62.5/125 FIBER OPTIC, LOOSE BUFFER, DOUBLE JACKET</v>
          </cell>
          <cell r="E211">
            <v>771</v>
          </cell>
          <cell r="F211">
            <v>58</v>
          </cell>
          <cell r="G211" t="str">
            <v>M.</v>
          </cell>
        </row>
        <row r="212">
          <cell r="C212">
            <v>363</v>
          </cell>
          <cell r="D212" t="str">
            <v>-  48/C - 62.5/125 FIBER OPTIC, LOOSE BUFFER, DOUBLE JACKET</v>
          </cell>
          <cell r="E212">
            <v>1032</v>
          </cell>
          <cell r="F212">
            <v>75</v>
          </cell>
          <cell r="G212" t="str">
            <v>M.</v>
          </cell>
        </row>
        <row r="213">
          <cell r="C213">
            <v>364</v>
          </cell>
          <cell r="D213" t="str">
            <v>-  60/C - 62.5/125 FIBER OPTIC, LOOSE BUFFER, DOUBLE JACKET</v>
          </cell>
          <cell r="E213">
            <v>1312</v>
          </cell>
          <cell r="F213">
            <v>85</v>
          </cell>
          <cell r="G213" t="str">
            <v>M.</v>
          </cell>
        </row>
        <row r="214">
          <cell r="C214">
            <v>365</v>
          </cell>
          <cell r="D214" t="str">
            <v>-  72/C - 62.5/125 FIBER OPTIC, LOOSE BUFFER, DOUBLE JACKET</v>
          </cell>
          <cell r="E214">
            <v>1526</v>
          </cell>
          <cell r="F214">
            <v>95</v>
          </cell>
          <cell r="G214" t="str">
            <v>M.</v>
          </cell>
        </row>
        <row r="215">
          <cell r="C215">
            <v>366</v>
          </cell>
          <cell r="D215" t="str">
            <v>-  2/C - 62.5/125 FIBER OPTIC, LOOSE BUFFER, ARMORED</v>
          </cell>
          <cell r="E215">
            <v>154</v>
          </cell>
          <cell r="F215">
            <v>15</v>
          </cell>
          <cell r="G215" t="str">
            <v>M.</v>
          </cell>
        </row>
        <row r="216">
          <cell r="C216">
            <v>367</v>
          </cell>
          <cell r="D216" t="str">
            <v>-  4/C - 62.5/125 FIBER OPTIC, LOOSE BUFFER, ARMORED</v>
          </cell>
          <cell r="E216">
            <v>187</v>
          </cell>
          <cell r="F216">
            <v>18</v>
          </cell>
          <cell r="G216" t="str">
            <v>M.</v>
          </cell>
        </row>
        <row r="217">
          <cell r="C217">
            <v>368</v>
          </cell>
          <cell r="D217" t="str">
            <v>-  6/C - 62.5/125 FIBER OPTIC, LOOSE BUFFER, ARMORED</v>
          </cell>
          <cell r="E217">
            <v>218</v>
          </cell>
          <cell r="F217">
            <v>21</v>
          </cell>
          <cell r="G217" t="str">
            <v>M.</v>
          </cell>
        </row>
        <row r="218">
          <cell r="C218">
            <v>369</v>
          </cell>
          <cell r="D218" t="str">
            <v>-  8/C - 62.5/125 FIBER OPTIC, LOOSE BUFFER, ARMORED</v>
          </cell>
          <cell r="E218">
            <v>330</v>
          </cell>
          <cell r="F218">
            <v>25</v>
          </cell>
          <cell r="G218" t="str">
            <v>M.</v>
          </cell>
        </row>
        <row r="219">
          <cell r="C219">
            <v>370</v>
          </cell>
          <cell r="D219" t="str">
            <v>-  10/C - 62.5/125 FIBER OPTIC, LOOSE BUFFER, ARMORED</v>
          </cell>
          <cell r="E219">
            <v>414</v>
          </cell>
          <cell r="F219">
            <v>30</v>
          </cell>
          <cell r="G219" t="str">
            <v>M.</v>
          </cell>
        </row>
        <row r="220">
          <cell r="C220">
            <v>371</v>
          </cell>
          <cell r="D220" t="str">
            <v>-  12/C - 62.5/125 FIBER OPTIC, LOOSE BUFFER, ARMORED</v>
          </cell>
          <cell r="E220">
            <v>457</v>
          </cell>
          <cell r="F220">
            <v>33</v>
          </cell>
          <cell r="G220" t="str">
            <v>M.</v>
          </cell>
        </row>
        <row r="221">
          <cell r="C221">
            <v>372</v>
          </cell>
          <cell r="D221" t="str">
            <v>-  18/C - 62.5/125 FIBER OPTIC, LOOSE BUFFER, ARMORED</v>
          </cell>
          <cell r="E221">
            <v>600</v>
          </cell>
          <cell r="F221">
            <v>41</v>
          </cell>
          <cell r="G221" t="str">
            <v>M.</v>
          </cell>
        </row>
        <row r="222">
          <cell r="C222">
            <v>373</v>
          </cell>
          <cell r="D222" t="str">
            <v>-  24/C - 62.5/125 FIBER OPTIC, LOOSE BUFFER, ARMORED</v>
          </cell>
          <cell r="E222">
            <v>716</v>
          </cell>
          <cell r="F222">
            <v>46</v>
          </cell>
          <cell r="G222" t="str">
            <v>M.</v>
          </cell>
        </row>
        <row r="223">
          <cell r="C223">
            <v>374</v>
          </cell>
          <cell r="D223" t="str">
            <v>-  36/C - 62.5/125 FIBER OPTIC, LOOSE BUFFER, ARMORED</v>
          </cell>
          <cell r="E223">
            <v>991</v>
          </cell>
          <cell r="F223">
            <v>51</v>
          </cell>
          <cell r="G223" t="str">
            <v>M.</v>
          </cell>
        </row>
        <row r="224">
          <cell r="C224">
            <v>375</v>
          </cell>
          <cell r="D224" t="str">
            <v>-  48/C - 62.5/125 FIBER OPTIC, LOOSE BUFFER, ARMORED</v>
          </cell>
          <cell r="E224">
            <v>1210</v>
          </cell>
          <cell r="F224">
            <v>80</v>
          </cell>
          <cell r="G224" t="str">
            <v>M.</v>
          </cell>
        </row>
        <row r="225">
          <cell r="C225">
            <v>376</v>
          </cell>
          <cell r="D225" t="str">
            <v>-  60/C - 62.5/125 FIBER OPTIC, LOOSE BUFFER, ARMORED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7">
        <row r="3">
          <cell r="C3" t="str">
            <v>N0.</v>
          </cell>
        </row>
      </sheetData>
      <sheetData sheetId="8">
        <row r="3">
          <cell r="C3" t="str">
            <v>N0.</v>
          </cell>
        </row>
      </sheetData>
      <sheetData sheetId="9">
        <row r="3">
          <cell r="C3" t="str">
            <v>N0.</v>
          </cell>
        </row>
      </sheetData>
      <sheetData sheetId="10">
        <row r="3">
          <cell r="C3" t="str">
            <v>N0.</v>
          </cell>
        </row>
      </sheetData>
      <sheetData sheetId="11">
        <row r="3">
          <cell r="C3" t="str">
            <v>N0.</v>
          </cell>
        </row>
      </sheetData>
      <sheetData sheetId="12">
        <row r="3">
          <cell r="C3" t="str">
            <v>N0.</v>
          </cell>
        </row>
      </sheetData>
      <sheetData sheetId="13">
        <row r="3">
          <cell r="C3" t="str">
            <v>N0.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ตกแต่งภายใน"/>
      <sheetName val="ระบบโสต"/>
      <sheetName val="ปก"/>
      <sheetName val="แก้ไขอาคาร"/>
      <sheetName val="แก้ไขภูมิทัศน์"/>
      <sheetName val="แก้ไขตกแต่งภายใน"/>
      <sheetName val="แก้ไขโสต"/>
      <sheetName val="ส่วนตัดออ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สรุปราคา_EMC"/>
      <sheetName val="ใบสรุปราคา"/>
      <sheetName val="สรุป_emc"/>
      <sheetName val="สรุป"/>
      <sheetName val="อาคารเรียน"/>
      <sheetName val="อาคารอเนกประสงค์"/>
      <sheetName val="คุรุภัณฑ์"/>
      <sheetName val="ระบบปรับอากาศและสุขาภิบาลรวม"/>
    </sheetNames>
    <sheetDataSet>
      <sheetData sheetId="0"/>
      <sheetData sheetId="1">
        <row r="16">
          <cell r="M16">
            <v>1</v>
          </cell>
          <cell r="N16">
            <v>1</v>
          </cell>
        </row>
        <row r="17">
          <cell r="M17">
            <v>1</v>
          </cell>
          <cell r="N17">
            <v>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Sheet1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FR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สรุปงานโครงสร้าง"/>
      <sheetName val="โครงสร้าง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Lift"/>
      <sheetName val="Stair"/>
      <sheetName val="Code Stair"/>
      <sheetName val="STEEL Roof"/>
      <sheetName val="โครงหลังคา"/>
      <sheetName val="Steel"/>
      <sheetName val=" "/>
      <sheetName val="บทสรุปผู้บริหาร"/>
      <sheetName val="(R05)-PLE-602"/>
      <sheetName val="ELE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03100(SS)"/>
      <sheetName val="MAIN"/>
      <sheetName val="SG"/>
      <sheetName val="J100"/>
      <sheetName val="실행철강하도"/>
      <sheetName val="sheetNO"/>
      <sheetName val="DETAIL "/>
      <sheetName val="SOURCE"/>
      <sheetName val="Store"/>
      <sheetName val="토공집계표"/>
      <sheetName val="Worksheet"/>
      <sheetName val="EST-FOOTING (G)"/>
      <sheetName val="ประมาณการประตูหน้าต่าง "/>
      <sheetName val="Mat"/>
      <sheetName val="สรุปราคา (L)"/>
      <sheetName val="AC"/>
      <sheetName val="Total BOQ"/>
      <sheetName val="4G SUM-SK (Lift&amp;Interior)"/>
      <sheetName val="S-Curve (Lift&amp;Interior)"/>
      <sheetName val="6L4 DETAIL SK"/>
      <sheetName val="S-Curve (R2)"/>
      <sheetName val="Bill No. 2 - Carpark"/>
      <sheetName val="รวมราคาทั้งสิ้น"/>
      <sheetName val="rate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CUSTOMER"/>
      <sheetName val="7-consume"/>
      <sheetName val="6-Equipment"/>
      <sheetName val="4-Local transport"/>
      <sheetName val="Backup"/>
      <sheetName val="Sum"/>
      <sheetName val="ELEC"/>
      <sheetName val="SUM-AIR-Submit"/>
      <sheetName val="STRUCTURE"/>
      <sheetName val="Main Sum (Hotel &amp; Residences)"/>
      <sheetName val="SAN REDUCED 1"/>
      <sheetName val="BOX Cryostat Details"/>
      <sheetName val="Driver Linac Layout"/>
      <sheetName val="Inputs"/>
      <sheetName val="Magnet Details"/>
      <sheetName val="PL"/>
      <sheetName val="Factor F Data"/>
      <sheetName val="ELE.xls"/>
      <sheetName val="_"/>
      <sheetName val="DETAIL_"/>
      <sheetName val="bq"/>
      <sheetName val="cov-estimate"/>
      <sheetName val="อาคารหลัก A"/>
      <sheetName val="I-slab"/>
      <sheetName val="BAL"/>
      <sheetName val="EST-FOOTING_(G)"/>
      <sheetName val="ZPS02"/>
      <sheetName val="เงินกู้ MGC"/>
      <sheetName val="เงินกู้ธนชาติ"/>
      <sheetName val="DETAIL"/>
      <sheetName val="ADO_2552"/>
      <sheetName val="STD"/>
      <sheetName val="HVAC"/>
      <sheetName val="Construction cost assumption"/>
      <sheetName val="JLL Assumption"/>
      <sheetName val="Retail Program&amp;Rev Assumption"/>
      <sheetName val="ประมาณการประตูหน้าต่าง_"/>
      <sheetName val="Unit rate Architecture"/>
      <sheetName val="Cavity Inputs"/>
      <sheetName val="Sum(Civil Work)"/>
      <sheetName val="สรุป_EMC"/>
      <sheetName val="data3"/>
      <sheetName val="Code"/>
      <sheetName val="วัดใต้"/>
      <sheetName val="B-หมวดงานรื้-ถอน"/>
      <sheetName val=" HW บานเลื่อน"/>
      <sheetName val="Replacement Cost "/>
      <sheetName val="S4.1_MEP Guestroom"/>
      <sheetName val="概総括1"/>
      <sheetName val="Ratio_Qty1"/>
      <sheetName val="Foundation_1"/>
      <sheetName val="Column_1"/>
      <sheetName val="Beam__1"/>
      <sheetName val="RC_Slab_1"/>
      <sheetName val="Lift_Core__1"/>
      <sheetName val="Post-Tens__Slab__1"/>
      <sheetName val="RC_Stair__1"/>
      <sheetName val="RC_wall_1"/>
      <sheetName val="Typ_F1"/>
      <sheetName val="Grand_sum1"/>
      <sheetName val="Sum_Floor1"/>
      <sheetName val="Sum_Fl_1"/>
      <sheetName val="Code_Footing1"/>
      <sheetName val="Code_Column1"/>
      <sheetName val="G_BEAM1"/>
      <sheetName val="Code_Beam1"/>
      <sheetName val="G_Slab1"/>
      <sheetName val="Code_Slab1"/>
      <sheetName val="Code_Post1"/>
      <sheetName val="Code_Stair1"/>
      <sheetName val="STEEL_Roof1"/>
      <sheetName val="_1"/>
      <sheetName val="DETAIL_1"/>
      <sheetName val="EST-FOOTING_(G)1"/>
      <sheetName val="ประมาณการประตูหน้าต่าง_1"/>
      <sheetName val="สรุปราคา_(L)"/>
      <sheetName val="Total_BOQ"/>
      <sheetName val="SUM_"/>
      <sheetName val="(2)PMI_012"/>
      <sheetName val="(3)PMI_014"/>
      <sheetName val="(4)PMI_015"/>
      <sheetName val="(5)PMI_021"/>
      <sheetName val="(6)PMI_022"/>
      <sheetName val="(7)PMI_024"/>
      <sheetName val="(8)PMI_028"/>
      <sheetName val="(9)PMI__"/>
      <sheetName val="(10)PMI_"/>
      <sheetName val="(_11)TV"/>
      <sheetName val="4G_SUM-SK_(Lift&amp;Interior)"/>
      <sheetName val="S-Curve_(Lift&amp;Interior)"/>
      <sheetName val="6L4_DETAIL_SK"/>
      <sheetName val="S-Curve_(R2)"/>
      <sheetName val="Bill_No__2_-_Carpark"/>
      <sheetName val="4-Local_transport"/>
      <sheetName val="Main_Sum_(Hotel_&amp;_Residences)"/>
      <sheetName val="SAN_REDUCED_1"/>
      <sheetName val="BOX_Cryostat_Details"/>
      <sheetName val="Driver_Linac_Layout"/>
      <sheetName val="Magnet_Details"/>
      <sheetName val="Factor_F_Data"/>
      <sheetName val="ELE_xls"/>
      <sheetName val="อาคารหลัก_A"/>
      <sheetName val="เงินกู้_MGC"/>
      <sheetName val="Construction_cost_assumption"/>
      <sheetName val="JLL_Assumption"/>
      <sheetName val="Retail_Program&amp;Rev_Assumption"/>
      <sheetName val="Unit_rate_Architecture"/>
      <sheetName val="Cavity_Inputs"/>
      <sheetName val="Sum(Civil_Work)"/>
      <sheetName val="_HW_บานเลื่อน"/>
      <sheetName val="Replacement_Cost_"/>
      <sheetName val="file"/>
      <sheetName val="Cost Data"/>
      <sheetName val="Material"/>
      <sheetName val="สรุป"/>
      <sheetName val="Summary"/>
      <sheetName val="AC.C"/>
      <sheetName val="RC.footing"/>
      <sheetName val="S_x0000_&quot;ì_x0005_Ù_x0000__x0000__x0000_"/>
      <sheetName val="Ratchada"/>
      <sheetName val="Menu"/>
      <sheetName val="วัฒนพัฒน์"/>
      <sheetName val="S"/>
      <sheetName val="MET19"/>
      <sheetName val="Sum SN"/>
      <sheetName val="Main Riser"/>
      <sheetName val="AC_C"/>
      <sheetName val="H1.0"/>
      <sheetName val="aman seri"/>
      <sheetName val="S?&quot;ì_x0005_Ù???"/>
      <sheetName val="Database"/>
      <sheetName val="Output"/>
      <sheetName val="งานโครงสร้าง"/>
      <sheetName val="List"/>
      <sheetName val="boq"/>
      <sheetName val="calc_menu_déroulant"/>
      <sheetName val="LITF"/>
      <sheetName val="QUANTITY COMPARISON"/>
      <sheetName val="Cost_Categories"/>
      <sheetName val="Summary cal"/>
      <sheetName val="Formula"/>
      <sheetName val="A.O.R."/>
      <sheetName val="Ratio_Qty2"/>
      <sheetName val="Foundation_2"/>
      <sheetName val="Column_2"/>
      <sheetName val="Beam__2"/>
      <sheetName val="RC_Slab_2"/>
      <sheetName val="Lift_Core__2"/>
      <sheetName val="Post-Tens__Slab__2"/>
      <sheetName val="RC_Stair__2"/>
      <sheetName val="RC_wall_2"/>
      <sheetName val="Typ_F2"/>
      <sheetName val="Grand_sum2"/>
      <sheetName val="Sum_Floor2"/>
      <sheetName val="Sum_Fl_2"/>
      <sheetName val="Code_Footing2"/>
      <sheetName val="Code_Column2"/>
      <sheetName val="G_BEAM2"/>
      <sheetName val="Code_Beam2"/>
      <sheetName val="G_Slab2"/>
      <sheetName val="Code_Slab2"/>
      <sheetName val="Code_Post2"/>
      <sheetName val="Code_Stair2"/>
      <sheetName val="STEEL_Roof2"/>
      <sheetName val="_2"/>
      <sheetName val="DETAIL_2"/>
      <sheetName val="EST-FOOTING_(G)2"/>
      <sheetName val="ประมาณการประตูหน้าต่าง_2"/>
      <sheetName val="สรุปราคา_(L)1"/>
      <sheetName val="Total_BOQ1"/>
      <sheetName val="4G_SUM-SK_(Lift&amp;Interior)1"/>
      <sheetName val="S-Curve_(Lift&amp;Interior)1"/>
      <sheetName val="6L4_DETAIL_SK1"/>
      <sheetName val="S-Curve_(R2)1"/>
      <sheetName val="4-Local_transport1"/>
      <sheetName val="SAN_REDUCED_11"/>
      <sheetName val="Bill_No__2_-_Carpark1"/>
      <sheetName val="Main_Sum_(Hotel_&amp;_Residences)1"/>
      <sheetName val="SUM_1"/>
      <sheetName val="(2)PMI_0121"/>
      <sheetName val="(3)PMI_0141"/>
      <sheetName val="(4)PMI_0151"/>
      <sheetName val="(5)PMI_0211"/>
      <sheetName val="(6)PMI_0221"/>
      <sheetName val="(7)PMI_0241"/>
      <sheetName val="(8)PMI_0281"/>
      <sheetName val="(9)PMI__1"/>
      <sheetName val="(10)PMI_1"/>
      <sheetName val="(_11)TV1"/>
      <sheetName val="ELE_xls1"/>
      <sheetName val="BOX_Cryostat_Details1"/>
      <sheetName val="Driver_Linac_Layout1"/>
      <sheetName val="Magnet_Details1"/>
      <sheetName val="Factor_F_Data1"/>
      <sheetName val="อาคารหลัก_A1"/>
      <sheetName val="S4_1_MEP_Guestroom"/>
      <sheetName val="เงินกู้_MGC1"/>
      <sheetName val="_HW_บานเลื่อน1"/>
      <sheetName val="Construction_cost_assumption1"/>
      <sheetName val="JLL_Assumption1"/>
      <sheetName val="Retail_Program&amp;Rev_Assumption1"/>
      <sheetName val="Unit_rate_Architecture1"/>
      <sheetName val="Cavity_Inputs1"/>
      <sheetName val="Sum(Civil_Work)1"/>
      <sheetName val="Replacement_Cost_1"/>
      <sheetName val="Cost_Data"/>
      <sheetName val="S_&quot;ì_x0005_Ù___"/>
      <sheetName val="properties"/>
      <sheetName val="ฐานข้อมูลป้าย"/>
      <sheetName val="Cash Flow-1"/>
      <sheetName val="Operating"/>
      <sheetName val="S3 Architectural"/>
      <sheetName val="ST-อาคาร C"/>
      <sheetName val="JM50-99"/>
      <sheetName val="splinkler"/>
      <sheetName val="Syntec Summary_B_C_F"/>
      <sheetName val="Hauling"/>
      <sheetName val="BM"/>
      <sheetName val="Purchase Order"/>
      <sheetName val="Customize Your Purchase Order"/>
      <sheetName val="BK Unit Rate"/>
      <sheetName val="SITE OFFICE"/>
      <sheetName val="Cost"/>
      <sheetName val="Cost Break"/>
      <sheetName val="Prod-1"/>
      <sheetName val="งานสถาปัตยกรรม A"/>
      <sheetName val="AC_C1"/>
      <sheetName val="RC_footing"/>
      <sheetName val="S&quot;ìÙ"/>
      <sheetName val="Sum_SN"/>
      <sheetName val="Main_Riser"/>
      <sheetName val="H1_0"/>
      <sheetName val="aman_seri"/>
      <sheetName val="S?&quot;ìÙ???"/>
      <sheetName val="BQ-E20-02(Rp)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Ratio_Qty3"/>
      <sheetName val="Foundation_3"/>
      <sheetName val="Column_3"/>
      <sheetName val="Beam__3"/>
      <sheetName val="RC_Slab_3"/>
      <sheetName val="Lift_Core__3"/>
      <sheetName val="Post-Tens__Slab__3"/>
      <sheetName val="RC_Stair__3"/>
      <sheetName val="RC_wall_3"/>
      <sheetName val="Typ_F3"/>
      <sheetName val="Grand_sum3"/>
      <sheetName val="Sum_Floor3"/>
      <sheetName val="Sum_Fl_3"/>
      <sheetName val="Code_Footing3"/>
      <sheetName val="Code_Column3"/>
      <sheetName val="G_BEAM3"/>
      <sheetName val="Code_Beam3"/>
      <sheetName val="G_Slab3"/>
      <sheetName val="Code_Slab3"/>
      <sheetName val="Code_Post3"/>
      <sheetName val="Code_Stair3"/>
      <sheetName val="STEEL_Roof3"/>
      <sheetName val="_3"/>
      <sheetName val="DETAIL_3"/>
      <sheetName val="EST-FOOTING_(G)3"/>
      <sheetName val="ประมาณการประตูหน้าต่าง_3"/>
      <sheetName val="สรุปราคา_(L)2"/>
      <sheetName val="Total_BOQ2"/>
      <sheetName val="4G_SUM-SK_(Lift&amp;Interior)2"/>
      <sheetName val="S-Curve_(Lift&amp;Interior)2"/>
      <sheetName val="6L4_DETAIL_SK2"/>
      <sheetName val="S-Curve_(R2)2"/>
      <sheetName val="4-Local_transport2"/>
      <sheetName val="SAN_REDUCED_12"/>
      <sheetName val="Bill_No__2_-_Carpark2"/>
      <sheetName val="Main_Sum_(Hotel_&amp;_Residences)2"/>
      <sheetName val="SUM_2"/>
      <sheetName val="(2)PMI_0122"/>
      <sheetName val="(3)PMI_0142"/>
      <sheetName val="(4)PMI_0152"/>
      <sheetName val="(5)PMI_0212"/>
      <sheetName val="(6)PMI_0222"/>
      <sheetName val="(7)PMI_0242"/>
      <sheetName val="(8)PMI_0282"/>
      <sheetName val="(9)PMI__2"/>
      <sheetName val="(10)PMI_2"/>
      <sheetName val="(_11)TV2"/>
      <sheetName val="ELE_xls2"/>
      <sheetName val="BOX_Cryostat_Details2"/>
      <sheetName val="Driver_Linac_Layout2"/>
      <sheetName val="Magnet_Details2"/>
      <sheetName val="Factor_F_Data2"/>
      <sheetName val="อาคารหลัก_A2"/>
      <sheetName val="S4_1_MEP_Guestroom1"/>
      <sheetName val="เงินกู้_MGC2"/>
      <sheetName val="_HW_บานเลื่อน2"/>
      <sheetName val="Construction_cost_assumption2"/>
      <sheetName val="JLL_Assumption2"/>
      <sheetName val="Retail_Program&amp;Rev_Assumption2"/>
      <sheetName val="Unit_rate_Architecture2"/>
      <sheetName val="Cavity_Inputs2"/>
      <sheetName val="Sum(Civil_Work)2"/>
      <sheetName val="Replacement_Cost_2"/>
      <sheetName val="Cost_Data1"/>
      <sheetName val="Ratio_Qty4"/>
      <sheetName val="Foundation_4"/>
      <sheetName val="Column_4"/>
      <sheetName val="Beam__4"/>
      <sheetName val="RC_Slab_4"/>
      <sheetName val="Lift_Core__4"/>
      <sheetName val="Post-Tens__Slab__4"/>
      <sheetName val="RC_Stair__4"/>
      <sheetName val="RC_wall_4"/>
      <sheetName val="Typ_F4"/>
      <sheetName val="Grand_sum4"/>
      <sheetName val="Sum_Floor4"/>
      <sheetName val="Sum_Fl_4"/>
      <sheetName val="Code_Footing4"/>
      <sheetName val="Code_Column4"/>
      <sheetName val="G_BEAM4"/>
      <sheetName val="Code_Beam4"/>
      <sheetName val="G_Slab4"/>
      <sheetName val="Code_Slab4"/>
      <sheetName val="Code_Post4"/>
      <sheetName val="Code_Stair4"/>
      <sheetName val="STEEL_Roof4"/>
      <sheetName val="_4"/>
      <sheetName val="DETAIL_4"/>
      <sheetName val="EST-FOOTING_(G)4"/>
      <sheetName val="ประมาณการประตูหน้าต่าง_4"/>
      <sheetName val="สรุปราคา_(L)3"/>
      <sheetName val="Total_BOQ3"/>
      <sheetName val="4G_SUM-SK_(Lift&amp;Interior)3"/>
      <sheetName val="S-Curve_(Lift&amp;Interior)3"/>
      <sheetName val="6L4_DETAIL_SK3"/>
      <sheetName val="S-Curve_(R2)3"/>
      <sheetName val="4-Local_transport3"/>
      <sheetName val="SAN_REDUCED_13"/>
      <sheetName val="Bill_No__2_-_Carpark3"/>
      <sheetName val="Main_Sum_(Hotel_&amp;_Residences)3"/>
      <sheetName val="SUM_3"/>
      <sheetName val="(2)PMI_0123"/>
      <sheetName val="(3)PMI_0143"/>
      <sheetName val="(4)PMI_0153"/>
      <sheetName val="(5)PMI_0213"/>
      <sheetName val="(6)PMI_0223"/>
      <sheetName val="(7)PMI_0243"/>
      <sheetName val="(8)PMI_0283"/>
      <sheetName val="(9)PMI__3"/>
      <sheetName val="(10)PMI_3"/>
      <sheetName val="(_11)TV3"/>
      <sheetName val="ELE_xls3"/>
      <sheetName val="BOX_Cryostat_Details3"/>
      <sheetName val="Driver_Linac_Layout3"/>
      <sheetName val="Magnet_Details3"/>
      <sheetName val="Factor_F_Data3"/>
      <sheetName val="อาคารหลัก_A3"/>
      <sheetName val="S4_1_MEP_Guestroom2"/>
      <sheetName val="เงินกู้_MGC3"/>
      <sheetName val="_HW_บานเลื่อน3"/>
      <sheetName val="Construction_cost_assumption3"/>
      <sheetName val="JLL_Assumption3"/>
      <sheetName val="Retail_Program&amp;Rev_Assumption3"/>
      <sheetName val="Unit_rate_Architecture3"/>
      <sheetName val="Cavity_Inputs3"/>
      <sheetName val="Sum(Civil_Work)3"/>
      <sheetName val="Replacement_Cost_3"/>
      <sheetName val="Cost_Data2"/>
      <sheetName val="AC_C2"/>
      <sheetName val="RefSheet"/>
      <sheetName val=" FS"/>
      <sheetName val="Sch_1_EE"/>
      <sheetName val="Sch.2 SN"/>
      <sheetName val="Sch.3 FP"/>
      <sheetName val="Sch.4 AC"/>
      <sheetName val="Sch.6 Prelim"/>
      <sheetName val="XL4Poppy"/>
      <sheetName val="Mat_Source"/>
      <sheetName val="Unit_Div6"/>
      <sheetName val="Ragama"/>
      <sheetName val="Total"/>
      <sheetName val="C_footing"/>
      <sheetName val="R_footing"/>
      <sheetName val="C_rc."/>
      <sheetName val="R_rc. "/>
      <sheetName val="C_post."/>
      <sheetName val="R_post."/>
      <sheetName val="C_Flat"/>
      <sheetName val="R_Flat"/>
      <sheetName val="C-beam(net) "/>
      <sheetName val="R_beam(net)  "/>
      <sheetName val="C-column"/>
      <sheetName val="R_column"/>
      <sheetName val="Trial Balance"/>
      <sheetName val="TB"/>
      <sheetName val="A1.2"/>
      <sheetName val="Master"/>
    </sheetNames>
    <sheetDataSet>
      <sheetData sheetId="0" refreshError="1"/>
      <sheetData sheetId="1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ACCESSORIES FOR DISTRIBUTION BOARD</v>
          </cell>
        </row>
        <row r="6">
          <cell r="C6">
            <v>1</v>
          </cell>
          <cell r="D6" t="str">
            <v>,LIGHTNING PROTECTION AND GROUNDING</v>
          </cell>
        </row>
        <row r="7">
          <cell r="C7">
            <v>1</v>
          </cell>
          <cell r="D7" t="str">
            <v>DISTRIBUTION BOARD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CUBICLE &amp; BUSBAR</v>
          </cell>
          <cell r="E8">
            <v>1000</v>
          </cell>
          <cell r="F8">
            <v>0</v>
          </cell>
          <cell r="G8" t="str">
            <v>LOT</v>
          </cell>
        </row>
        <row r="9">
          <cell r="C9">
            <v>102</v>
          </cell>
          <cell r="D9" t="str">
            <v>-  CUBICLE &amp; BUSBAR</v>
          </cell>
          <cell r="E9">
            <v>1500</v>
          </cell>
          <cell r="F9">
            <v>0</v>
          </cell>
          <cell r="G9" t="str">
            <v>LOT</v>
          </cell>
        </row>
        <row r="10">
          <cell r="C10">
            <v>103</v>
          </cell>
          <cell r="D10" t="str">
            <v>-  CUBICLE &amp; BUSBAR</v>
          </cell>
          <cell r="E10">
            <v>1900</v>
          </cell>
          <cell r="F10">
            <v>0</v>
          </cell>
          <cell r="G10" t="str">
            <v>LOT</v>
          </cell>
        </row>
        <row r="11">
          <cell r="C11">
            <v>104</v>
          </cell>
          <cell r="D11" t="str">
            <v>-  CUBICLE &amp; BUSBAR</v>
          </cell>
          <cell r="E11">
            <v>2500</v>
          </cell>
          <cell r="F11">
            <v>0</v>
          </cell>
          <cell r="G11" t="str">
            <v>LOT</v>
          </cell>
        </row>
        <row r="12">
          <cell r="C12">
            <v>105</v>
          </cell>
          <cell r="D12" t="str">
            <v>-  CUBICLE &amp; BUSBAR</v>
          </cell>
          <cell r="E12">
            <v>3000</v>
          </cell>
          <cell r="F12">
            <v>0</v>
          </cell>
          <cell r="G12" t="str">
            <v>LOT</v>
          </cell>
        </row>
        <row r="13">
          <cell r="C13">
            <v>106</v>
          </cell>
          <cell r="D13" t="str">
            <v>-  CUBICLE &amp; BUSBAR</v>
          </cell>
          <cell r="E13">
            <v>3500</v>
          </cell>
          <cell r="F13">
            <v>0</v>
          </cell>
          <cell r="G13" t="str">
            <v>LOT</v>
          </cell>
        </row>
        <row r="14">
          <cell r="C14">
            <v>106</v>
          </cell>
          <cell r="D14" t="str">
            <v>SPACE</v>
          </cell>
          <cell r="E14">
            <v>6.15</v>
          </cell>
          <cell r="F14">
            <v>1</v>
          </cell>
          <cell r="G14" t="str">
            <v>M.</v>
          </cell>
        </row>
        <row r="15">
          <cell r="C15">
            <v>111</v>
          </cell>
          <cell r="D15" t="str">
            <v>-  CT 100/5 A</v>
          </cell>
          <cell r="E15">
            <v>1300</v>
          </cell>
          <cell r="F15">
            <v>0</v>
          </cell>
          <cell r="G15" t="str">
            <v>EA.</v>
          </cell>
        </row>
        <row r="16">
          <cell r="C16">
            <v>112</v>
          </cell>
          <cell r="D16" t="str">
            <v>-  CT 125/5 A</v>
          </cell>
          <cell r="E16">
            <v>1300</v>
          </cell>
          <cell r="F16">
            <v>0</v>
          </cell>
          <cell r="G16" t="str">
            <v>EA.</v>
          </cell>
        </row>
        <row r="17">
          <cell r="C17">
            <v>113</v>
          </cell>
          <cell r="D17" t="str">
            <v>-  CT 150/5 A</v>
          </cell>
          <cell r="E17">
            <v>1300</v>
          </cell>
          <cell r="F17">
            <v>0</v>
          </cell>
          <cell r="G17" t="str">
            <v>EA.</v>
          </cell>
        </row>
        <row r="18">
          <cell r="C18">
            <v>114</v>
          </cell>
          <cell r="D18" t="str">
            <v>-  CT 200/5 A</v>
          </cell>
          <cell r="E18">
            <v>1300</v>
          </cell>
          <cell r="F18">
            <v>0</v>
          </cell>
          <cell r="G18" t="str">
            <v>EA.</v>
          </cell>
        </row>
        <row r="19">
          <cell r="C19">
            <v>115</v>
          </cell>
          <cell r="D19" t="str">
            <v>-  CT 250/5 A</v>
          </cell>
          <cell r="E19">
            <v>1300</v>
          </cell>
          <cell r="F19">
            <v>0</v>
          </cell>
          <cell r="G19" t="str">
            <v>EA.</v>
          </cell>
        </row>
        <row r="20">
          <cell r="C20">
            <v>116</v>
          </cell>
          <cell r="D20" t="str">
            <v>-  CT 300/5 A</v>
          </cell>
          <cell r="E20">
            <v>1300</v>
          </cell>
          <cell r="F20">
            <v>0</v>
          </cell>
          <cell r="G20" t="str">
            <v>EA.</v>
          </cell>
        </row>
        <row r="21">
          <cell r="C21">
            <v>117</v>
          </cell>
          <cell r="D21" t="str">
            <v>-  CT 400/5 A</v>
          </cell>
          <cell r="E21">
            <v>1300</v>
          </cell>
          <cell r="F21">
            <v>0</v>
          </cell>
          <cell r="G21" t="str">
            <v>EA.</v>
          </cell>
        </row>
        <row r="22">
          <cell r="C22">
            <v>118</v>
          </cell>
          <cell r="D22" t="str">
            <v>-  CT 500/5 A</v>
          </cell>
          <cell r="E22">
            <v>1500</v>
          </cell>
          <cell r="F22">
            <v>0</v>
          </cell>
          <cell r="G22" t="str">
            <v>EA.</v>
          </cell>
        </row>
        <row r="23">
          <cell r="C23">
            <v>119</v>
          </cell>
          <cell r="D23" t="str">
            <v>-  CT 600/5 A</v>
          </cell>
          <cell r="E23">
            <v>1500</v>
          </cell>
          <cell r="F23">
            <v>0</v>
          </cell>
          <cell r="G23" t="str">
            <v>EA.</v>
          </cell>
        </row>
        <row r="24">
          <cell r="C24">
            <v>120</v>
          </cell>
          <cell r="D24" t="str">
            <v>-  CT 750/5 A</v>
          </cell>
          <cell r="E24">
            <v>1500</v>
          </cell>
          <cell r="F24">
            <v>0</v>
          </cell>
          <cell r="G24" t="str">
            <v>EA.</v>
          </cell>
        </row>
        <row r="25">
          <cell r="C25">
            <v>121</v>
          </cell>
          <cell r="D25" t="str">
            <v>-  CT 800/5 A</v>
          </cell>
          <cell r="E25">
            <v>1500</v>
          </cell>
          <cell r="F25">
            <v>0</v>
          </cell>
          <cell r="G25" t="str">
            <v>EA.</v>
          </cell>
        </row>
        <row r="26">
          <cell r="C26">
            <v>122</v>
          </cell>
          <cell r="D26" t="str">
            <v>-  CT 1,000/5 A</v>
          </cell>
          <cell r="E26">
            <v>1500</v>
          </cell>
          <cell r="F26">
            <v>0</v>
          </cell>
          <cell r="G26" t="str">
            <v>EA.</v>
          </cell>
        </row>
        <row r="27">
          <cell r="C27">
            <v>123</v>
          </cell>
          <cell r="D27" t="str">
            <v>-  CT 1,200/5 A</v>
          </cell>
          <cell r="E27">
            <v>1800</v>
          </cell>
          <cell r="F27">
            <v>0</v>
          </cell>
          <cell r="G27" t="str">
            <v>EA.</v>
          </cell>
        </row>
        <row r="28">
          <cell r="C28">
            <v>124</v>
          </cell>
          <cell r="D28" t="str">
            <v>-  CT 1,500/5 A</v>
          </cell>
          <cell r="E28">
            <v>1800</v>
          </cell>
          <cell r="F28">
            <v>0</v>
          </cell>
          <cell r="G28" t="str">
            <v>EA.</v>
          </cell>
        </row>
        <row r="29">
          <cell r="C29">
            <v>125</v>
          </cell>
          <cell r="D29" t="str">
            <v>-  CT 1,600/5 A</v>
          </cell>
          <cell r="E29">
            <v>1800</v>
          </cell>
          <cell r="F29">
            <v>0</v>
          </cell>
          <cell r="G29" t="str">
            <v>EA.</v>
          </cell>
        </row>
        <row r="30">
          <cell r="C30">
            <v>126</v>
          </cell>
          <cell r="D30" t="str">
            <v>-  CT 2,000/5 A</v>
          </cell>
          <cell r="E30">
            <v>1800</v>
          </cell>
          <cell r="F30">
            <v>0</v>
          </cell>
          <cell r="G30" t="str">
            <v>EA.</v>
          </cell>
        </row>
        <row r="31">
          <cell r="C31">
            <v>127</v>
          </cell>
          <cell r="D31" t="str">
            <v>-  CT 2,500/5 A</v>
          </cell>
          <cell r="E31">
            <v>1800</v>
          </cell>
          <cell r="F31">
            <v>0</v>
          </cell>
          <cell r="G31" t="str">
            <v>EA.</v>
          </cell>
        </row>
        <row r="32">
          <cell r="C32">
            <v>128</v>
          </cell>
          <cell r="D32" t="str">
            <v>-  CT 3,000/5 A</v>
          </cell>
          <cell r="E32">
            <v>2400</v>
          </cell>
          <cell r="F32">
            <v>0</v>
          </cell>
          <cell r="G32" t="str">
            <v>EA.</v>
          </cell>
        </row>
        <row r="33">
          <cell r="C33">
            <v>129</v>
          </cell>
          <cell r="D33" t="str">
            <v>-  CT 4,000/5 A</v>
          </cell>
          <cell r="E33">
            <v>2400</v>
          </cell>
          <cell r="F33">
            <v>0</v>
          </cell>
          <cell r="G33" t="str">
            <v>EA.</v>
          </cell>
        </row>
        <row r="34">
          <cell r="C34">
            <v>129</v>
          </cell>
          <cell r="D34" t="str">
            <v>SPACE</v>
          </cell>
          <cell r="E34">
            <v>41</v>
          </cell>
          <cell r="F34">
            <v>2</v>
          </cell>
          <cell r="G34" t="str">
            <v>M.</v>
          </cell>
        </row>
        <row r="35">
          <cell r="C35">
            <v>131</v>
          </cell>
          <cell r="D35" t="str">
            <v>-  VOLT &amp; VOLTAGE SELECTOR</v>
          </cell>
          <cell r="E35">
            <v>1000</v>
          </cell>
          <cell r="F35">
            <v>0</v>
          </cell>
          <cell r="G35" t="str">
            <v>EA.</v>
          </cell>
        </row>
        <row r="36">
          <cell r="C36">
            <v>132</v>
          </cell>
          <cell r="D36" t="str">
            <v>-  AMP &amp; AMP SELECTOR</v>
          </cell>
          <cell r="E36">
            <v>1000</v>
          </cell>
          <cell r="F36">
            <v>0</v>
          </cell>
          <cell r="G36" t="str">
            <v>EA.</v>
          </cell>
        </row>
        <row r="37">
          <cell r="C37">
            <v>133</v>
          </cell>
          <cell r="D37" t="str">
            <v>-  FREQUENCY METER</v>
          </cell>
          <cell r="E37">
            <v>1500</v>
          </cell>
          <cell r="F37">
            <v>0</v>
          </cell>
          <cell r="G37" t="str">
            <v>EA.</v>
          </cell>
        </row>
        <row r="38">
          <cell r="C38">
            <v>134</v>
          </cell>
          <cell r="D38" t="str">
            <v>-  1 PHASE WATT-HOUR METER</v>
          </cell>
          <cell r="E38">
            <v>1500</v>
          </cell>
          <cell r="F38">
            <v>0</v>
          </cell>
          <cell r="G38" t="str">
            <v>EA.</v>
          </cell>
        </row>
        <row r="39">
          <cell r="C39">
            <v>135</v>
          </cell>
          <cell r="D39" t="str">
            <v>-  3 PHASE WATT-HOUR METER</v>
          </cell>
          <cell r="E39">
            <v>4000</v>
          </cell>
          <cell r="F39">
            <v>0</v>
          </cell>
          <cell r="G39" t="str">
            <v>EA.</v>
          </cell>
        </row>
        <row r="40">
          <cell r="C40">
            <v>136</v>
          </cell>
          <cell r="D40" t="str">
            <v>-  KILOW-WATT METER</v>
          </cell>
          <cell r="E40">
            <v>5000</v>
          </cell>
          <cell r="F40">
            <v>0</v>
          </cell>
          <cell r="G40" t="str">
            <v>EA.</v>
          </cell>
        </row>
        <row r="41">
          <cell r="C41">
            <v>137</v>
          </cell>
          <cell r="D41" t="str">
            <v>-  POWER FACTOR METER</v>
          </cell>
          <cell r="E41">
            <v>35000</v>
          </cell>
          <cell r="F41">
            <v>0</v>
          </cell>
          <cell r="G41" t="str">
            <v>EA.</v>
          </cell>
        </row>
        <row r="42">
          <cell r="C42">
            <v>138</v>
          </cell>
          <cell r="D42" t="str">
            <v>-  DEMAND METER</v>
          </cell>
          <cell r="E42">
            <v>12000</v>
          </cell>
          <cell r="F42">
            <v>0</v>
          </cell>
          <cell r="G42" t="str">
            <v>EA.</v>
          </cell>
        </row>
        <row r="43">
          <cell r="C43">
            <v>139</v>
          </cell>
          <cell r="D43" t="str">
            <v>-  CONTROL FUSE AND PILOT LAMP</v>
          </cell>
          <cell r="E43">
            <v>300</v>
          </cell>
          <cell r="F43">
            <v>0</v>
          </cell>
          <cell r="G43" t="str">
            <v>LOT</v>
          </cell>
        </row>
        <row r="44">
          <cell r="C44">
            <v>139</v>
          </cell>
          <cell r="D44" t="str">
            <v>SPACE</v>
          </cell>
          <cell r="E44">
            <v>82</v>
          </cell>
          <cell r="F44">
            <v>6</v>
          </cell>
          <cell r="G44" t="str">
            <v>M.</v>
          </cell>
        </row>
        <row r="45">
          <cell r="C45">
            <v>2</v>
          </cell>
          <cell r="D45" t="str">
            <v>CAPACITOR ACCESSORIES</v>
          </cell>
          <cell r="E45">
            <v>84</v>
          </cell>
          <cell r="F45">
            <v>7</v>
          </cell>
          <cell r="G45" t="str">
            <v>M.</v>
          </cell>
        </row>
        <row r="46">
          <cell r="C46">
            <v>201</v>
          </cell>
          <cell r="D46" t="str">
            <v>-  3P AC3 MAGNETIC CONTACTOR</v>
          </cell>
          <cell r="E46">
            <v>2000</v>
          </cell>
          <cell r="F46">
            <v>0</v>
          </cell>
          <cell r="G46" t="str">
            <v>EA.</v>
          </cell>
        </row>
        <row r="47">
          <cell r="C47">
            <v>202</v>
          </cell>
          <cell r="D47" t="str">
            <v>-  HRC FUSE W./AUX. CONTACT</v>
          </cell>
          <cell r="E47">
            <v>1500</v>
          </cell>
          <cell r="F47">
            <v>0</v>
          </cell>
          <cell r="G47" t="str">
            <v>EA.</v>
          </cell>
        </row>
        <row r="48">
          <cell r="C48">
            <v>203</v>
          </cell>
          <cell r="D48" t="str">
            <v>-  KVAR CONTROLLER 6 STEP</v>
          </cell>
          <cell r="E48">
            <v>12000</v>
          </cell>
          <cell r="F48">
            <v>0</v>
          </cell>
          <cell r="G48" t="str">
            <v>EA.</v>
          </cell>
        </row>
        <row r="49">
          <cell r="C49">
            <v>204</v>
          </cell>
          <cell r="D49" t="str">
            <v>-  KVAR CONTROLLER 12 STEP</v>
          </cell>
          <cell r="E49">
            <v>13500</v>
          </cell>
          <cell r="F49">
            <v>0</v>
          </cell>
          <cell r="G49" t="str">
            <v>EA.</v>
          </cell>
        </row>
        <row r="50">
          <cell r="C50">
            <v>145</v>
          </cell>
          <cell r="D50" t="str">
            <v>DRY TYPE CAPACITOR</v>
          </cell>
          <cell r="E50">
            <v>107</v>
          </cell>
          <cell r="F50">
            <v>11</v>
          </cell>
          <cell r="G50" t="str">
            <v>M.</v>
          </cell>
        </row>
        <row r="51">
          <cell r="C51">
            <v>211</v>
          </cell>
          <cell r="D51" t="str">
            <v>-  10  KVAR DRY TYPE CAPACITOR</v>
          </cell>
          <cell r="E51">
            <v>2500</v>
          </cell>
          <cell r="F51">
            <v>0</v>
          </cell>
          <cell r="G51" t="str">
            <v>SET</v>
          </cell>
        </row>
        <row r="52">
          <cell r="C52">
            <v>212</v>
          </cell>
          <cell r="D52" t="str">
            <v>-  15  KVAR DRY TYPE CAPACITOR</v>
          </cell>
          <cell r="E52">
            <v>3500</v>
          </cell>
          <cell r="F52">
            <v>0</v>
          </cell>
          <cell r="G52" t="str">
            <v>SET</v>
          </cell>
        </row>
        <row r="53">
          <cell r="C53">
            <v>213</v>
          </cell>
          <cell r="D53" t="str">
            <v>-  20  KVAR DRY TYPE CAPACITOR</v>
          </cell>
          <cell r="E53">
            <v>4200</v>
          </cell>
          <cell r="F53">
            <v>0</v>
          </cell>
          <cell r="G53" t="str">
            <v>SET</v>
          </cell>
        </row>
        <row r="54">
          <cell r="C54">
            <v>214</v>
          </cell>
          <cell r="D54" t="str">
            <v>-  25  KVAR DRY TYPE CAPACITOR</v>
          </cell>
          <cell r="E54">
            <v>4750</v>
          </cell>
          <cell r="F54">
            <v>0</v>
          </cell>
          <cell r="G54" t="str">
            <v>SET</v>
          </cell>
        </row>
        <row r="55">
          <cell r="C55">
            <v>215</v>
          </cell>
          <cell r="D55" t="str">
            <v>-  30  KVAR DRY TYPE CAPACITOR</v>
          </cell>
          <cell r="E55">
            <v>5400</v>
          </cell>
          <cell r="F55">
            <v>0</v>
          </cell>
          <cell r="G55" t="str">
            <v>SET</v>
          </cell>
        </row>
        <row r="56">
          <cell r="C56">
            <v>216</v>
          </cell>
          <cell r="D56" t="str">
            <v>-  40  KVAR DRY TYPE CAPACITOR</v>
          </cell>
          <cell r="E56">
            <v>6900</v>
          </cell>
          <cell r="F56">
            <v>0</v>
          </cell>
          <cell r="G56" t="str">
            <v>SET</v>
          </cell>
        </row>
        <row r="57">
          <cell r="C57">
            <v>217</v>
          </cell>
          <cell r="D57" t="str">
            <v>-  50  KVAR DRY TYPE CAPACITOR</v>
          </cell>
          <cell r="E57">
            <v>7700</v>
          </cell>
          <cell r="F57">
            <v>0</v>
          </cell>
          <cell r="G57" t="str">
            <v>SET</v>
          </cell>
        </row>
        <row r="58">
          <cell r="C58">
            <v>218</v>
          </cell>
          <cell r="D58" t="str">
            <v>-  60  KVAR DRY TYPE CAPACITOR</v>
          </cell>
          <cell r="E58">
            <v>10200</v>
          </cell>
          <cell r="F58">
            <v>0</v>
          </cell>
          <cell r="G58" t="str">
            <v>SET</v>
          </cell>
        </row>
        <row r="59">
          <cell r="C59">
            <v>219</v>
          </cell>
          <cell r="D59" t="str">
            <v>-  75  KVAR DRY TYPE CAPACITOR</v>
          </cell>
          <cell r="E59">
            <v>13100</v>
          </cell>
          <cell r="F59">
            <v>0</v>
          </cell>
          <cell r="G59" t="str">
            <v>SET</v>
          </cell>
        </row>
        <row r="60">
          <cell r="C60">
            <v>220</v>
          </cell>
          <cell r="D60" t="str">
            <v>-  80  KVAR DRY TYPE CAPACITOR</v>
          </cell>
          <cell r="E60">
            <v>13300</v>
          </cell>
          <cell r="F60">
            <v>0</v>
          </cell>
          <cell r="G60" t="str">
            <v>SET</v>
          </cell>
        </row>
        <row r="61">
          <cell r="C61">
            <v>221</v>
          </cell>
          <cell r="D61" t="str">
            <v>-  100  KVAR DRY TYPE CAPACITOR</v>
          </cell>
          <cell r="E61">
            <v>16450</v>
          </cell>
          <cell r="F61">
            <v>0</v>
          </cell>
          <cell r="G61" t="str">
            <v>SET</v>
          </cell>
        </row>
        <row r="62">
          <cell r="C62">
            <v>157</v>
          </cell>
          <cell r="D62" t="str">
            <v>CAPACITOR  (HARMONIC PROTECTOR)</v>
          </cell>
          <cell r="E62">
            <v>95</v>
          </cell>
          <cell r="F62">
            <v>8</v>
          </cell>
          <cell r="G62" t="str">
            <v>M.</v>
          </cell>
        </row>
        <row r="63">
          <cell r="C63">
            <v>222</v>
          </cell>
          <cell r="D63" t="str">
            <v>-  10  KVAR DRY TYPE CAPACITOR</v>
          </cell>
          <cell r="E63">
            <v>3250</v>
          </cell>
          <cell r="F63">
            <v>0</v>
          </cell>
          <cell r="G63" t="str">
            <v>SET</v>
          </cell>
        </row>
        <row r="64">
          <cell r="C64">
            <v>223</v>
          </cell>
          <cell r="D64" t="str">
            <v>-  15  KVAR DRY TYPE CAPACITOR</v>
          </cell>
          <cell r="E64">
            <v>4550</v>
          </cell>
          <cell r="F64">
            <v>0</v>
          </cell>
          <cell r="G64" t="str">
            <v>SET</v>
          </cell>
        </row>
        <row r="65">
          <cell r="C65">
            <v>224</v>
          </cell>
          <cell r="D65" t="str">
            <v>-  20  KVAR DRY TYPE CAPACITOR</v>
          </cell>
          <cell r="E65">
            <v>5500</v>
          </cell>
          <cell r="F65">
            <v>0</v>
          </cell>
          <cell r="G65" t="str">
            <v>SET</v>
          </cell>
        </row>
        <row r="66">
          <cell r="C66">
            <v>225</v>
          </cell>
          <cell r="D66" t="str">
            <v>-  25  KVAR DRY TYPE CAPACITOR</v>
          </cell>
          <cell r="E66">
            <v>6175</v>
          </cell>
          <cell r="F66">
            <v>0</v>
          </cell>
          <cell r="G66" t="str">
            <v>SET</v>
          </cell>
        </row>
        <row r="67">
          <cell r="C67">
            <v>226</v>
          </cell>
          <cell r="D67" t="str">
            <v>-  30  KVAR DRY TYPE CAPACITOR</v>
          </cell>
          <cell r="E67">
            <v>7020</v>
          </cell>
          <cell r="F67">
            <v>0</v>
          </cell>
          <cell r="G67" t="str">
            <v>SET</v>
          </cell>
        </row>
        <row r="68">
          <cell r="C68">
            <v>227</v>
          </cell>
          <cell r="D68" t="str">
            <v>-  40  KVAR DRY TYPE CAPACITOR</v>
          </cell>
          <cell r="E68">
            <v>9000</v>
          </cell>
          <cell r="F68">
            <v>0</v>
          </cell>
          <cell r="G68" t="str">
            <v>SET</v>
          </cell>
        </row>
        <row r="69">
          <cell r="C69">
            <v>228</v>
          </cell>
          <cell r="D69" t="str">
            <v>-  50  KVAR DRY TYPE CAPACITOR</v>
          </cell>
          <cell r="E69">
            <v>10000</v>
          </cell>
          <cell r="F69">
            <v>0</v>
          </cell>
          <cell r="G69" t="str">
            <v>SET</v>
          </cell>
        </row>
        <row r="70">
          <cell r="C70">
            <v>229</v>
          </cell>
          <cell r="D70" t="str">
            <v>-  60  KVAR DRY TYPE CAPACITOR</v>
          </cell>
          <cell r="E70">
            <v>13000</v>
          </cell>
          <cell r="F70">
            <v>0</v>
          </cell>
          <cell r="G70" t="str">
            <v>SET</v>
          </cell>
        </row>
        <row r="71">
          <cell r="C71">
            <v>230</v>
          </cell>
          <cell r="D71" t="str">
            <v>-  75  KVAR DRY TYPE CAPACITOR</v>
          </cell>
          <cell r="E71">
            <v>17000</v>
          </cell>
          <cell r="F71">
            <v>0</v>
          </cell>
          <cell r="G71" t="str">
            <v>SET</v>
          </cell>
        </row>
        <row r="72">
          <cell r="C72">
            <v>231</v>
          </cell>
          <cell r="D72" t="str">
            <v>-  80  KVAR DRY TYPE CAPACITOR</v>
          </cell>
          <cell r="E72">
            <v>17500</v>
          </cell>
          <cell r="F72">
            <v>0</v>
          </cell>
          <cell r="G72" t="str">
            <v>SET</v>
          </cell>
        </row>
        <row r="73">
          <cell r="C73">
            <v>232</v>
          </cell>
          <cell r="D73" t="str">
            <v>-  100  KVAR DRY TYPE CAPACITOR</v>
          </cell>
          <cell r="E73">
            <v>21500</v>
          </cell>
          <cell r="F73">
            <v>0</v>
          </cell>
          <cell r="G73" t="str">
            <v>SET</v>
          </cell>
        </row>
        <row r="74">
          <cell r="C74">
            <v>169</v>
          </cell>
          <cell r="D74" t="str">
            <v>SPACE</v>
          </cell>
          <cell r="E74">
            <v>590</v>
          </cell>
          <cell r="F74">
            <v>40</v>
          </cell>
          <cell r="G74" t="str">
            <v>M.</v>
          </cell>
        </row>
        <row r="75">
          <cell r="C75">
            <v>170</v>
          </cell>
          <cell r="D75" t="str">
            <v>-  200 PRS. - 0.65 MM. AP</v>
          </cell>
          <cell r="E75">
            <v>790</v>
          </cell>
          <cell r="F75">
            <v>60</v>
          </cell>
          <cell r="G75" t="str">
            <v>M.</v>
          </cell>
        </row>
        <row r="76">
          <cell r="C76">
            <v>3</v>
          </cell>
          <cell r="D76" t="str">
            <v>LIGHTNING PROTECTION AND GROUNDING</v>
          </cell>
          <cell r="E76">
            <v>495</v>
          </cell>
          <cell r="F76">
            <v>100</v>
          </cell>
          <cell r="G76" t="str">
            <v>SET</v>
          </cell>
        </row>
        <row r="77">
          <cell r="C77">
            <v>301</v>
          </cell>
          <cell r="D77" t="str">
            <v>-  MULTIPOINT, 5/8", 30 CM. LONG</v>
          </cell>
          <cell r="E77">
            <v>1150</v>
          </cell>
          <cell r="F77">
            <v>300</v>
          </cell>
          <cell r="G77" t="str">
            <v>SET</v>
          </cell>
        </row>
        <row r="78">
          <cell r="C78">
            <v>302</v>
          </cell>
          <cell r="D78" t="str">
            <v>-  MULTIPOINT, 5/8", 60 CM. LONG</v>
          </cell>
          <cell r="E78">
            <v>1300</v>
          </cell>
          <cell r="F78">
            <v>300</v>
          </cell>
          <cell r="G78" t="str">
            <v>SET</v>
          </cell>
        </row>
        <row r="79">
          <cell r="C79">
            <v>303</v>
          </cell>
          <cell r="D79" t="str">
            <v>-  MULTIPOINT, 5/8", 100 CM. LONG</v>
          </cell>
          <cell r="E79">
            <v>1600</v>
          </cell>
          <cell r="F79">
            <v>350</v>
          </cell>
          <cell r="G79" t="str">
            <v>SET</v>
          </cell>
        </row>
        <row r="80">
          <cell r="C80">
            <v>304</v>
          </cell>
          <cell r="D80" t="str">
            <v>-  MULITIPOINT, 5/8", 150 CM. LONG</v>
          </cell>
          <cell r="E80">
            <v>1850</v>
          </cell>
          <cell r="F80">
            <v>350</v>
          </cell>
          <cell r="G80" t="str">
            <v>SET</v>
          </cell>
        </row>
        <row r="81">
          <cell r="C81">
            <v>305</v>
          </cell>
          <cell r="D81" t="str">
            <v>-  MULITIPOINT, 5/8", 200 CM. LONG</v>
          </cell>
          <cell r="E81">
            <v>2250</v>
          </cell>
          <cell r="F81">
            <v>400</v>
          </cell>
          <cell r="G81" t="str">
            <v>SET</v>
          </cell>
        </row>
        <row r="82">
          <cell r="C82">
            <v>306</v>
          </cell>
          <cell r="D82" t="str">
            <v>-  MULITIPOINT, 3/4", 30 CM. LONG</v>
          </cell>
          <cell r="E82">
            <v>1450</v>
          </cell>
          <cell r="F82">
            <v>300</v>
          </cell>
          <cell r="G82" t="str">
            <v>SET</v>
          </cell>
        </row>
        <row r="83">
          <cell r="C83">
            <v>307</v>
          </cell>
          <cell r="D83" t="str">
            <v>-  MULITIPOINT, 3/4", 60 CM. LONG</v>
          </cell>
          <cell r="E83">
            <v>1600</v>
          </cell>
          <cell r="F83">
            <v>300</v>
          </cell>
          <cell r="G83" t="str">
            <v>SET</v>
          </cell>
        </row>
        <row r="84">
          <cell r="C84">
            <v>308</v>
          </cell>
          <cell r="D84" t="str">
            <v>-  MULITIPOINT, 3/4", 100 CM. LONG</v>
          </cell>
          <cell r="E84">
            <v>2000</v>
          </cell>
          <cell r="F84">
            <v>350</v>
          </cell>
          <cell r="G84" t="str">
            <v>SET</v>
          </cell>
        </row>
        <row r="85">
          <cell r="C85">
            <v>309</v>
          </cell>
          <cell r="D85" t="str">
            <v>-  MULITIPOINT, 3/4", 150 CM. LONG</v>
          </cell>
          <cell r="E85">
            <v>2650</v>
          </cell>
          <cell r="F85">
            <v>350</v>
          </cell>
          <cell r="G85" t="str">
            <v>SET</v>
          </cell>
        </row>
        <row r="86">
          <cell r="C86">
            <v>310</v>
          </cell>
          <cell r="D86" t="str">
            <v>-  MULITIPOINT, 3/4", 200 CM. LONG</v>
          </cell>
          <cell r="E86">
            <v>3250</v>
          </cell>
          <cell r="F86">
            <v>400</v>
          </cell>
          <cell r="G86" t="str">
            <v>SET</v>
          </cell>
        </row>
        <row r="87">
          <cell r="C87">
            <v>311</v>
          </cell>
          <cell r="D87" t="str">
            <v>-  COPPER AIR TERMINAL, 5/8", 30 CM. LONG</v>
          </cell>
          <cell r="E87">
            <v>650</v>
          </cell>
          <cell r="F87">
            <v>300</v>
          </cell>
          <cell r="G87" t="str">
            <v>SET</v>
          </cell>
        </row>
        <row r="88">
          <cell r="C88">
            <v>312</v>
          </cell>
          <cell r="D88" t="str">
            <v>-  COPPER AIR TERMINAL, 5/8", 60 CM. LONG</v>
          </cell>
          <cell r="E88">
            <v>800</v>
          </cell>
          <cell r="F88">
            <v>300</v>
          </cell>
          <cell r="G88" t="str">
            <v>SET</v>
          </cell>
        </row>
        <row r="89">
          <cell r="C89">
            <v>313</v>
          </cell>
          <cell r="D89" t="str">
            <v>-  COPPER AIR TERMINAL, 5/8", 100 CM. LONG</v>
          </cell>
          <cell r="E89">
            <v>1100</v>
          </cell>
          <cell r="F89">
            <v>350</v>
          </cell>
          <cell r="G89" t="str">
            <v>SET</v>
          </cell>
        </row>
        <row r="90">
          <cell r="C90">
            <v>314</v>
          </cell>
          <cell r="D90" t="str">
            <v>-  COPPER AIR TERMINAL, 5/8", 150 CM. LONG</v>
          </cell>
          <cell r="E90">
            <v>1350</v>
          </cell>
          <cell r="F90">
            <v>350</v>
          </cell>
          <cell r="G90" t="str">
            <v>SET</v>
          </cell>
        </row>
        <row r="91">
          <cell r="C91">
            <v>315</v>
          </cell>
          <cell r="D91" t="str">
            <v>-  COPPER AIR TERMINAL, 5/8", 200 CM. LONG</v>
          </cell>
          <cell r="E91">
            <v>1750</v>
          </cell>
          <cell r="F91">
            <v>400</v>
          </cell>
          <cell r="G91" t="str">
            <v>SET</v>
          </cell>
        </row>
        <row r="92">
          <cell r="C92">
            <v>316</v>
          </cell>
          <cell r="D92" t="str">
            <v>-  COPPER AIR TERMINAL, 3/4", 30 CM. LONG</v>
          </cell>
          <cell r="E92">
            <v>950</v>
          </cell>
          <cell r="F92">
            <v>300</v>
          </cell>
          <cell r="G92" t="str">
            <v>SET</v>
          </cell>
        </row>
        <row r="93">
          <cell r="C93">
            <v>317</v>
          </cell>
          <cell r="D93" t="str">
            <v>-  COPPER AIR TERMINAL, 3/4", 60 CM. LONG</v>
          </cell>
          <cell r="E93">
            <v>1100</v>
          </cell>
          <cell r="F93">
            <v>300</v>
          </cell>
          <cell r="G93" t="str">
            <v>SET</v>
          </cell>
        </row>
        <row r="94">
          <cell r="C94">
            <v>318</v>
          </cell>
          <cell r="D94" t="str">
            <v>-  COPPER AIR TERMINAL, 3/4", 100 CM. LONG</v>
          </cell>
          <cell r="E94">
            <v>1550</v>
          </cell>
          <cell r="F94">
            <v>350</v>
          </cell>
          <cell r="G94" t="str">
            <v>SET</v>
          </cell>
        </row>
        <row r="95">
          <cell r="C95">
            <v>319</v>
          </cell>
          <cell r="D95" t="str">
            <v>-  COPPER AIR TERMINAL, 3/4", 150 CM. LONG</v>
          </cell>
          <cell r="E95">
            <v>2150</v>
          </cell>
          <cell r="F95">
            <v>350</v>
          </cell>
          <cell r="G95" t="str">
            <v>SET</v>
          </cell>
        </row>
        <row r="96">
          <cell r="C96">
            <v>320</v>
          </cell>
          <cell r="D96" t="str">
            <v>-  COPPER AIR TERMINAL, 3/4", 200 CM. LONG</v>
          </cell>
          <cell r="E96">
            <v>2750</v>
          </cell>
          <cell r="F96">
            <v>400</v>
          </cell>
          <cell r="G96" t="str">
            <v>SET</v>
          </cell>
        </row>
        <row r="97">
          <cell r="C97">
            <v>206</v>
          </cell>
          <cell r="D97" t="str">
            <v>SPACE</v>
          </cell>
          <cell r="E97">
            <v>2400</v>
          </cell>
          <cell r="F97">
            <v>200</v>
          </cell>
          <cell r="G97" t="str">
            <v>M.</v>
          </cell>
        </row>
        <row r="98">
          <cell r="C98">
            <v>207</v>
          </cell>
          <cell r="D98" t="str">
            <v>ACCESSORIES</v>
          </cell>
          <cell r="E98">
            <v>2700</v>
          </cell>
          <cell r="F98">
            <v>250</v>
          </cell>
          <cell r="G98" t="str">
            <v>M.</v>
          </cell>
        </row>
        <row r="99">
          <cell r="C99">
            <v>326</v>
          </cell>
          <cell r="D99" t="str">
            <v>-  COPPER TAPE 25x3 MM.</v>
          </cell>
          <cell r="E99">
            <v>200</v>
          </cell>
          <cell r="F99">
            <v>50</v>
          </cell>
          <cell r="G99" t="str">
            <v>M.</v>
          </cell>
        </row>
        <row r="100">
          <cell r="C100">
            <v>327</v>
          </cell>
          <cell r="D100" t="str">
            <v>-  GROUND TEST BOX</v>
          </cell>
          <cell r="E100">
            <v>1200</v>
          </cell>
          <cell r="F100">
            <v>500</v>
          </cell>
          <cell r="G100" t="str">
            <v>EA.</v>
          </cell>
        </row>
        <row r="101">
          <cell r="C101">
            <v>328</v>
          </cell>
          <cell r="D101" t="str">
            <v>-  LIGHTNING PULSE COUNTER</v>
          </cell>
          <cell r="E101">
            <v>25000</v>
          </cell>
          <cell r="F101">
            <v>1000</v>
          </cell>
          <cell r="G101" t="str">
            <v>EA.</v>
          </cell>
        </row>
        <row r="102">
          <cell r="C102">
            <v>329</v>
          </cell>
          <cell r="D102" t="str">
            <v>-  6 POS. COPPER GROUND BAR</v>
          </cell>
          <cell r="E102">
            <v>1200</v>
          </cell>
          <cell r="F102">
            <v>500</v>
          </cell>
          <cell r="G102" t="str">
            <v>SET</v>
          </cell>
        </row>
        <row r="103">
          <cell r="C103">
            <v>330</v>
          </cell>
          <cell r="D103" t="str">
            <v>-  8 POS. COPPER GROUND BAR</v>
          </cell>
          <cell r="E103">
            <v>1400</v>
          </cell>
          <cell r="F103">
            <v>500</v>
          </cell>
          <cell r="G103" t="str">
            <v>SET</v>
          </cell>
        </row>
        <row r="104">
          <cell r="C104">
            <v>331</v>
          </cell>
          <cell r="D104" t="str">
            <v>-  12 POS. COPPER GROUND BAR</v>
          </cell>
          <cell r="E104">
            <v>1800</v>
          </cell>
          <cell r="F104">
            <v>600</v>
          </cell>
          <cell r="G104" t="str">
            <v>SET</v>
          </cell>
        </row>
        <row r="105">
          <cell r="C105">
            <v>332</v>
          </cell>
          <cell r="D105" t="str">
            <v>-  16 POS. COPPER GROUND BAR</v>
          </cell>
          <cell r="E105">
            <v>2200</v>
          </cell>
          <cell r="F105">
            <v>600</v>
          </cell>
          <cell r="G105" t="str">
            <v>SET</v>
          </cell>
        </row>
        <row r="106">
          <cell r="C106">
            <v>333</v>
          </cell>
          <cell r="D106" t="str">
            <v>-  24 POS. COPPER GROUND BAR</v>
          </cell>
          <cell r="E106">
            <v>3600</v>
          </cell>
          <cell r="F106">
            <v>700</v>
          </cell>
          <cell r="G106" t="str">
            <v>SET</v>
          </cell>
        </row>
        <row r="107">
          <cell r="C107">
            <v>216</v>
          </cell>
          <cell r="D107" t="str">
            <v>SPACE</v>
          </cell>
          <cell r="E107">
            <v>20000</v>
          </cell>
          <cell r="F107">
            <v>4200</v>
          </cell>
          <cell r="G107" t="str">
            <v>M.</v>
          </cell>
        </row>
        <row r="108">
          <cell r="C108">
            <v>217</v>
          </cell>
          <cell r="D108" t="str">
            <v>GROUND ROD</v>
          </cell>
          <cell r="E108">
            <v>25000</v>
          </cell>
          <cell r="F108">
            <v>5100</v>
          </cell>
          <cell r="G108" t="str">
            <v>M.</v>
          </cell>
        </row>
        <row r="109">
          <cell r="C109">
            <v>341</v>
          </cell>
          <cell r="D109" t="str">
            <v>-  GALVANIZED GROUND ROD, 1 M.</v>
          </cell>
          <cell r="E109">
            <v>60</v>
          </cell>
          <cell r="F109">
            <v>300</v>
          </cell>
          <cell r="G109" t="str">
            <v>SET</v>
          </cell>
        </row>
        <row r="110">
          <cell r="C110">
            <v>342</v>
          </cell>
          <cell r="D110" t="str">
            <v>-  GALVANIZED GROUND ROD, 1.5 M.</v>
          </cell>
          <cell r="E110">
            <v>65</v>
          </cell>
          <cell r="F110">
            <v>400</v>
          </cell>
          <cell r="G110" t="str">
            <v>SET</v>
          </cell>
        </row>
        <row r="111">
          <cell r="C111">
            <v>343</v>
          </cell>
          <cell r="D111" t="str">
            <v>-  GALVANIZED GROUND ROD, 2 M.</v>
          </cell>
          <cell r="E111">
            <v>120</v>
          </cell>
          <cell r="F111">
            <v>500</v>
          </cell>
          <cell r="G111" t="str">
            <v>SET</v>
          </cell>
        </row>
        <row r="112">
          <cell r="C112">
            <v>344</v>
          </cell>
          <cell r="D112" t="str">
            <v>-  GALVANIZED GROUND ROD, 3 M.</v>
          </cell>
          <cell r="E112">
            <v>130</v>
          </cell>
          <cell r="F112">
            <v>600</v>
          </cell>
          <cell r="G112" t="str">
            <v>SET</v>
          </cell>
        </row>
        <row r="113">
          <cell r="C113">
            <v>345</v>
          </cell>
          <cell r="D113" t="str">
            <v>-  COPPER CLAD SEEL GROUND ROD DIA 5/8", 5'</v>
          </cell>
          <cell r="E113">
            <v>240</v>
          </cell>
          <cell r="F113">
            <v>300</v>
          </cell>
          <cell r="G113" t="str">
            <v>SET</v>
          </cell>
        </row>
        <row r="114">
          <cell r="C114">
            <v>346</v>
          </cell>
          <cell r="D114" t="str">
            <v>-  COPPER CLAD SEEL GROUND ROD DIA 5/8", 6'</v>
          </cell>
          <cell r="E114">
            <v>290</v>
          </cell>
          <cell r="F114">
            <v>400</v>
          </cell>
          <cell r="G114" t="str">
            <v>SET</v>
          </cell>
        </row>
        <row r="115">
          <cell r="C115">
            <v>347</v>
          </cell>
          <cell r="D115" t="str">
            <v>-  COPPER CLAD SEEL GROUND ROD DIA 5/8", 8</v>
          </cell>
          <cell r="E115">
            <v>360</v>
          </cell>
          <cell r="F115">
            <v>500</v>
          </cell>
          <cell r="G115" t="str">
            <v>SET</v>
          </cell>
        </row>
        <row r="116">
          <cell r="C116">
            <v>348</v>
          </cell>
          <cell r="D116" t="str">
            <v>-  COPPER CLAD SEEL GROUND ROD DIA 5/8", 10'</v>
          </cell>
          <cell r="E116">
            <v>485</v>
          </cell>
          <cell r="F116">
            <v>600</v>
          </cell>
          <cell r="G116" t="str">
            <v>SET</v>
          </cell>
        </row>
        <row r="117">
          <cell r="C117">
            <v>349</v>
          </cell>
          <cell r="D117" t="str">
            <v>-  COPPER CLAD SEEL GROUND ROD DIA 3/4", 5'</v>
          </cell>
          <cell r="E117">
            <v>380</v>
          </cell>
          <cell r="F117">
            <v>300</v>
          </cell>
          <cell r="G117" t="str">
            <v>SET</v>
          </cell>
        </row>
        <row r="118">
          <cell r="C118">
            <v>350</v>
          </cell>
          <cell r="D118" t="str">
            <v>-  COPPER CLAD SEEL GROUND ROD DIA 3/4", 6'</v>
          </cell>
          <cell r="E118">
            <v>470</v>
          </cell>
          <cell r="F118">
            <v>400</v>
          </cell>
          <cell r="G118" t="str">
            <v>SET</v>
          </cell>
        </row>
        <row r="119">
          <cell r="C119">
            <v>351</v>
          </cell>
          <cell r="D119" t="str">
            <v>-  COPPER CLAD SEEL GROUND ROD DIA 3/4", 8'</v>
          </cell>
          <cell r="E119">
            <v>600</v>
          </cell>
          <cell r="F119">
            <v>500</v>
          </cell>
          <cell r="G119" t="str">
            <v>SET</v>
          </cell>
        </row>
        <row r="120">
          <cell r="C120">
            <v>352</v>
          </cell>
          <cell r="D120" t="str">
            <v>-  COPPER CLAD SEEL GROUND ROD DIA 3/4", 10'</v>
          </cell>
          <cell r="E120">
            <v>750</v>
          </cell>
          <cell r="F120">
            <v>600</v>
          </cell>
          <cell r="G120" t="str">
            <v>SET</v>
          </cell>
        </row>
        <row r="121">
          <cell r="C121">
            <v>230</v>
          </cell>
          <cell r="D121" t="str">
            <v>-  MDF 5,000 PRS.</v>
          </cell>
          <cell r="E121">
            <v>200000</v>
          </cell>
          <cell r="F121" t="str">
            <v xml:space="preserve"> </v>
          </cell>
          <cell r="G121" t="str">
            <v>M.</v>
          </cell>
        </row>
        <row r="122">
          <cell r="C122">
            <v>239</v>
          </cell>
          <cell r="D122" t="str">
            <v>PABX</v>
          </cell>
          <cell r="E122">
            <v>100000</v>
          </cell>
          <cell r="F122">
            <v>1000</v>
          </cell>
          <cell r="G122" t="str">
            <v>EA.</v>
          </cell>
        </row>
        <row r="123">
          <cell r="C123">
            <v>231</v>
          </cell>
          <cell r="D123" t="str">
            <v>-  10/40 LINE PABX</v>
          </cell>
          <cell r="E123">
            <v>450000</v>
          </cell>
          <cell r="F123">
            <v>0</v>
          </cell>
          <cell r="G123" t="str">
            <v>M.</v>
          </cell>
        </row>
        <row r="124">
          <cell r="C124">
            <v>232</v>
          </cell>
          <cell r="D124" t="str">
            <v>-  20/80 LINE PABX</v>
          </cell>
          <cell r="E124">
            <v>800000</v>
          </cell>
          <cell r="F124">
            <v>0</v>
          </cell>
          <cell r="G124" t="str">
            <v>M.</v>
          </cell>
        </row>
        <row r="125">
          <cell r="C125">
            <v>233</v>
          </cell>
          <cell r="D125" t="str">
            <v>-  30/120 LINE PABX</v>
          </cell>
          <cell r="E125">
            <v>950000</v>
          </cell>
          <cell r="F125">
            <v>0</v>
          </cell>
          <cell r="G125" t="str">
            <v>M.</v>
          </cell>
        </row>
        <row r="126">
          <cell r="C126">
            <v>234</v>
          </cell>
          <cell r="D126" t="str">
            <v>-  40/1600 LINE PABX</v>
          </cell>
          <cell r="E126">
            <v>1050000</v>
          </cell>
          <cell r="F126">
            <v>0</v>
          </cell>
          <cell r="G126" t="str">
            <v>M.</v>
          </cell>
        </row>
        <row r="127">
          <cell r="C127">
            <v>235</v>
          </cell>
          <cell r="D127" t="str">
            <v>-  50/200 LINE PABX</v>
          </cell>
          <cell r="E127">
            <v>1200000</v>
          </cell>
          <cell r="F127">
            <v>0</v>
          </cell>
          <cell r="G127" t="str">
            <v>M.</v>
          </cell>
        </row>
        <row r="128">
          <cell r="C128">
            <v>236</v>
          </cell>
          <cell r="D128" t="str">
            <v>-  60/240 LINE PABX</v>
          </cell>
          <cell r="E128">
            <v>1250000</v>
          </cell>
          <cell r="F128">
            <v>0</v>
          </cell>
          <cell r="G128" t="str">
            <v>M.</v>
          </cell>
        </row>
        <row r="129">
          <cell r="C129">
            <v>237</v>
          </cell>
          <cell r="D129" t="str">
            <v>-  70/280 LINE PABX</v>
          </cell>
          <cell r="E129">
            <v>1300000</v>
          </cell>
          <cell r="F129">
            <v>0</v>
          </cell>
          <cell r="G129" t="str">
            <v>M.</v>
          </cell>
        </row>
        <row r="130">
          <cell r="C130">
            <v>238</v>
          </cell>
          <cell r="D130" t="str">
            <v>-  80/320 LINE PABX</v>
          </cell>
          <cell r="E130">
            <v>1500000</v>
          </cell>
          <cell r="F130">
            <v>0</v>
          </cell>
          <cell r="G130" t="str">
            <v>M.</v>
          </cell>
        </row>
        <row r="131">
          <cell r="C131">
            <v>239</v>
          </cell>
          <cell r="D131" t="str">
            <v>-  90/360 LINE PABX</v>
          </cell>
          <cell r="E131">
            <v>1700000</v>
          </cell>
          <cell r="F131">
            <v>0</v>
          </cell>
          <cell r="G131" t="str">
            <v>M.</v>
          </cell>
        </row>
        <row r="132">
          <cell r="C132">
            <v>240</v>
          </cell>
          <cell r="D132" t="str">
            <v>-  100/400 LINE PABX</v>
          </cell>
          <cell r="E132">
            <v>1900000</v>
          </cell>
          <cell r="F132">
            <v>0</v>
          </cell>
          <cell r="G132" t="str">
            <v>M.</v>
          </cell>
        </row>
        <row r="133">
          <cell r="C133">
            <v>253</v>
          </cell>
          <cell r="D133" t="str">
            <v>SPACE</v>
          </cell>
          <cell r="E133">
            <v>410</v>
          </cell>
          <cell r="F133">
            <v>100</v>
          </cell>
          <cell r="G133" t="str">
            <v>EA.</v>
          </cell>
        </row>
        <row r="134">
          <cell r="C134">
            <v>246</v>
          </cell>
          <cell r="D134" t="str">
            <v>-  10/100 LINE PABX</v>
          </cell>
          <cell r="E134">
            <v>600000</v>
          </cell>
          <cell r="F134">
            <v>0</v>
          </cell>
          <cell r="G134" t="str">
            <v>M.</v>
          </cell>
        </row>
        <row r="135">
          <cell r="C135">
            <v>247</v>
          </cell>
          <cell r="D135" t="str">
            <v>-  20/200 LINE PABX</v>
          </cell>
          <cell r="E135">
            <v>1000000</v>
          </cell>
          <cell r="F135">
            <v>0</v>
          </cell>
          <cell r="G135" t="str">
            <v>M.</v>
          </cell>
        </row>
        <row r="136">
          <cell r="C136">
            <v>248</v>
          </cell>
          <cell r="D136" t="str">
            <v>-  30/300 LINE PABX</v>
          </cell>
          <cell r="E136">
            <v>1250000</v>
          </cell>
          <cell r="F136">
            <v>0</v>
          </cell>
          <cell r="G136" t="str">
            <v>M.</v>
          </cell>
        </row>
        <row r="137">
          <cell r="C137">
            <v>249</v>
          </cell>
          <cell r="D137" t="str">
            <v>-  40/400 LINE PABX</v>
          </cell>
          <cell r="E137">
            <v>1650000</v>
          </cell>
          <cell r="F137">
            <v>0</v>
          </cell>
          <cell r="G137" t="str">
            <v>M.</v>
          </cell>
        </row>
        <row r="138">
          <cell r="C138">
            <v>250</v>
          </cell>
          <cell r="D138" t="str">
            <v>-  50/500 LINE PABX</v>
          </cell>
          <cell r="E138">
            <v>1900000</v>
          </cell>
          <cell r="F138">
            <v>0</v>
          </cell>
          <cell r="G138" t="str">
            <v>M.</v>
          </cell>
        </row>
        <row r="139">
          <cell r="C139">
            <v>251</v>
          </cell>
          <cell r="D139" t="str">
            <v>-  60/600 LINE PABX</v>
          </cell>
          <cell r="E139">
            <v>2100000</v>
          </cell>
          <cell r="F139">
            <v>0</v>
          </cell>
          <cell r="G139" t="str">
            <v>M.</v>
          </cell>
        </row>
        <row r="140">
          <cell r="C140">
            <v>252</v>
          </cell>
          <cell r="D140" t="str">
            <v>-  70/700 LINE PABX</v>
          </cell>
          <cell r="E140">
            <v>2400000</v>
          </cell>
          <cell r="F140">
            <v>0</v>
          </cell>
          <cell r="G140" t="str">
            <v>M.</v>
          </cell>
        </row>
        <row r="141">
          <cell r="C141">
            <v>253</v>
          </cell>
          <cell r="D141" t="str">
            <v>-  80/800 LINE PABX</v>
          </cell>
          <cell r="E141">
            <v>0</v>
          </cell>
          <cell r="F141">
            <v>0</v>
          </cell>
          <cell r="G141" t="str">
            <v>M.</v>
          </cell>
        </row>
        <row r="142">
          <cell r="C142">
            <v>254</v>
          </cell>
          <cell r="D142" t="str">
            <v>-  90/900 LINE PABX</v>
          </cell>
          <cell r="E142">
            <v>0</v>
          </cell>
          <cell r="F142">
            <v>0</v>
          </cell>
          <cell r="G142" t="str">
            <v>M.</v>
          </cell>
        </row>
        <row r="143">
          <cell r="C143">
            <v>255</v>
          </cell>
          <cell r="D143" t="str">
            <v>-  100/1,000 LINE PABX</v>
          </cell>
          <cell r="E143">
            <v>0</v>
          </cell>
          <cell r="F143">
            <v>0</v>
          </cell>
          <cell r="G143" t="str">
            <v>M.</v>
          </cell>
        </row>
        <row r="144">
          <cell r="C144">
            <v>264</v>
          </cell>
          <cell r="D144" t="str">
            <v>SPACE</v>
          </cell>
          <cell r="E144">
            <v>1780</v>
          </cell>
          <cell r="F144">
            <v>150</v>
          </cell>
          <cell r="G144" t="str">
            <v>EA.</v>
          </cell>
        </row>
        <row r="145">
          <cell r="C145">
            <v>265</v>
          </cell>
          <cell r="D145" t="str">
            <v>ACCESSORIES</v>
          </cell>
          <cell r="E145">
            <v>2680</v>
          </cell>
          <cell r="F145">
            <v>150</v>
          </cell>
          <cell r="G145" t="str">
            <v>EA.</v>
          </cell>
        </row>
        <row r="146">
          <cell r="C146">
            <v>261</v>
          </cell>
          <cell r="D146" t="str">
            <v>-  LIGHTNING ARRESTER</v>
          </cell>
          <cell r="E146">
            <v>105</v>
          </cell>
          <cell r="F146">
            <v>20</v>
          </cell>
          <cell r="G146" t="str">
            <v>SET</v>
          </cell>
        </row>
        <row r="147">
          <cell r="C147">
            <v>262</v>
          </cell>
          <cell r="D147" t="str">
            <v>-  OPERATER CONSOLE</v>
          </cell>
          <cell r="E147">
            <v>28000</v>
          </cell>
          <cell r="F147">
            <v>0</v>
          </cell>
          <cell r="G147" t="str">
            <v>SET</v>
          </cell>
        </row>
        <row r="148">
          <cell r="C148">
            <v>263</v>
          </cell>
          <cell r="D148" t="str">
            <v>-  TELEPHONE OUTLET (PLASTIC PLATE)</v>
          </cell>
          <cell r="E148">
            <v>160</v>
          </cell>
          <cell r="F148">
            <v>50</v>
          </cell>
          <cell r="G148" t="str">
            <v>SET</v>
          </cell>
        </row>
        <row r="149">
          <cell r="C149">
            <v>264</v>
          </cell>
          <cell r="D149" t="str">
            <v>-  TELEPHONE OUTLET (ALUMINIUM PLATE)</v>
          </cell>
          <cell r="E149">
            <v>190</v>
          </cell>
          <cell r="F149">
            <v>50</v>
          </cell>
          <cell r="G149" t="str">
            <v>SET</v>
          </cell>
        </row>
        <row r="150">
          <cell r="C150">
            <v>265</v>
          </cell>
          <cell r="D150" t="str">
            <v>-  TELEPHONE OUTLET (STAINLESS PLATE)</v>
          </cell>
          <cell r="E150">
            <v>210</v>
          </cell>
          <cell r="F150">
            <v>50</v>
          </cell>
          <cell r="G150" t="str">
            <v>SET</v>
          </cell>
        </row>
        <row r="151">
          <cell r="C151">
            <v>266</v>
          </cell>
          <cell r="D151" t="str">
            <v>-  TELEPHONE OUTLET (ALUMINIUM PLATE, LIVING STYLE)</v>
          </cell>
          <cell r="E151">
            <v>600</v>
          </cell>
          <cell r="F151">
            <v>100</v>
          </cell>
          <cell r="G151" t="str">
            <v>SET</v>
          </cell>
        </row>
        <row r="152">
          <cell r="C152">
            <v>267</v>
          </cell>
          <cell r="D152" t="str">
            <v>-  TELEPHONE OUTLET (CHROMIUM PLATE PLATE, LIVING STYLE)</v>
          </cell>
          <cell r="E152">
            <v>870</v>
          </cell>
          <cell r="F152">
            <v>100</v>
          </cell>
          <cell r="G152" t="str">
            <v>SET</v>
          </cell>
        </row>
        <row r="153">
          <cell r="C153">
            <v>273</v>
          </cell>
          <cell r="D153" t="str">
            <v xml:space="preserve">   SPACE</v>
          </cell>
          <cell r="E153">
            <v>660</v>
          </cell>
          <cell r="F153">
            <v>100</v>
          </cell>
          <cell r="G153" t="str">
            <v>EA.</v>
          </cell>
        </row>
        <row r="154">
          <cell r="C154">
            <v>3</v>
          </cell>
          <cell r="D154" t="str">
            <v>TELECOMMUNICATION</v>
          </cell>
          <cell r="E154">
            <v>930</v>
          </cell>
          <cell r="F154">
            <v>100</v>
          </cell>
          <cell r="G154" t="str">
            <v>EA.</v>
          </cell>
        </row>
        <row r="155">
          <cell r="C155">
            <v>275</v>
          </cell>
          <cell r="D155" t="str">
            <v>MODULE &amp; ACCESSORIES</v>
          </cell>
          <cell r="E155">
            <v>1150</v>
          </cell>
          <cell r="F155">
            <v>100</v>
          </cell>
          <cell r="G155" t="str">
            <v>EA.</v>
          </cell>
        </row>
        <row r="156">
          <cell r="C156">
            <v>301</v>
          </cell>
          <cell r="D156" t="str">
            <v>-  24 PORTS-CAT5 PATCH PANEL</v>
          </cell>
          <cell r="E156">
            <v>5500</v>
          </cell>
          <cell r="F156">
            <v>300</v>
          </cell>
          <cell r="G156" t="str">
            <v>LOT</v>
          </cell>
        </row>
        <row r="157">
          <cell r="C157">
            <v>302</v>
          </cell>
          <cell r="D157" t="str">
            <v>-  32 PORTS-CAT5 PATCH PANEL</v>
          </cell>
          <cell r="E157">
            <v>8500</v>
          </cell>
          <cell r="F157">
            <v>450</v>
          </cell>
          <cell r="G157" t="str">
            <v>LOT</v>
          </cell>
        </row>
        <row r="158">
          <cell r="C158">
            <v>303</v>
          </cell>
          <cell r="D158" t="str">
            <v>-  48 PORTS-CAT5 PATCH PANEL</v>
          </cell>
          <cell r="E158">
            <v>11000</v>
          </cell>
          <cell r="F158">
            <v>600</v>
          </cell>
          <cell r="G158" t="str">
            <v>LOT</v>
          </cell>
        </row>
        <row r="159">
          <cell r="C159">
            <v>304</v>
          </cell>
          <cell r="D159" t="str">
            <v>-  64 PORTS-CAT5 PATCH PANEL</v>
          </cell>
          <cell r="E159">
            <v>16500</v>
          </cell>
          <cell r="F159">
            <v>900</v>
          </cell>
          <cell r="G159" t="str">
            <v>LOT</v>
          </cell>
        </row>
        <row r="160">
          <cell r="C160">
            <v>305</v>
          </cell>
          <cell r="D160" t="str">
            <v>-  96 PORTS-CAT5 PATCH PANEL</v>
          </cell>
          <cell r="E160">
            <v>21000</v>
          </cell>
          <cell r="F160">
            <v>1000</v>
          </cell>
          <cell r="G160" t="str">
            <v>LOT</v>
          </cell>
        </row>
        <row r="161">
          <cell r="C161">
            <v>281</v>
          </cell>
          <cell r="D161" t="str">
            <v>SPACE</v>
          </cell>
          <cell r="E161">
            <v>4480</v>
          </cell>
          <cell r="F161">
            <v>200</v>
          </cell>
          <cell r="G161" t="str">
            <v>EA.</v>
          </cell>
        </row>
        <row r="162">
          <cell r="C162">
            <v>311</v>
          </cell>
          <cell r="D162" t="str">
            <v>-  1xRJ45 MODULAR JACK</v>
          </cell>
          <cell r="E162">
            <v>280</v>
          </cell>
          <cell r="F162">
            <v>70</v>
          </cell>
          <cell r="G162" t="str">
            <v>SET</v>
          </cell>
        </row>
        <row r="163">
          <cell r="C163">
            <v>312</v>
          </cell>
          <cell r="D163" t="str">
            <v>-  2xRJ45 MODULAR JACK</v>
          </cell>
          <cell r="E163">
            <v>440</v>
          </cell>
          <cell r="F163">
            <v>100</v>
          </cell>
          <cell r="G163" t="str">
            <v>SET</v>
          </cell>
        </row>
        <row r="164">
          <cell r="C164">
            <v>313</v>
          </cell>
          <cell r="D164" t="str">
            <v>-  1xRJ45+1xRJ11 MODULAR JACK</v>
          </cell>
          <cell r="E164">
            <v>350</v>
          </cell>
          <cell r="F164">
            <v>100</v>
          </cell>
          <cell r="G164" t="str">
            <v>SET</v>
          </cell>
        </row>
        <row r="165">
          <cell r="C165">
            <v>314</v>
          </cell>
          <cell r="D165" t="str">
            <v>-  4xRJ45 MODULAR JACK</v>
          </cell>
          <cell r="E165">
            <v>760</v>
          </cell>
          <cell r="F165">
            <v>200</v>
          </cell>
          <cell r="G165" t="str">
            <v>SET</v>
          </cell>
        </row>
        <row r="166">
          <cell r="C166">
            <v>315</v>
          </cell>
          <cell r="D166" t="str">
            <v>-  3xRJ45+1xRJ11 MODULAR JACK</v>
          </cell>
          <cell r="E166">
            <v>670</v>
          </cell>
          <cell r="F166">
            <v>200</v>
          </cell>
          <cell r="G166" t="str">
            <v>SET</v>
          </cell>
        </row>
        <row r="167">
          <cell r="C167">
            <v>316</v>
          </cell>
          <cell r="D167" t="str">
            <v>-  2xRJ45+1xRJ11 MODULAR JACK</v>
          </cell>
          <cell r="E167">
            <v>580</v>
          </cell>
          <cell r="F167">
            <v>200</v>
          </cell>
          <cell r="G167" t="str">
            <v>SET</v>
          </cell>
        </row>
        <row r="168">
          <cell r="C168">
            <v>317</v>
          </cell>
          <cell r="D168" t="str">
            <v>-  6xRJ45 MODULAR JACK</v>
          </cell>
          <cell r="E168">
            <v>1140</v>
          </cell>
          <cell r="F168">
            <v>300</v>
          </cell>
          <cell r="G168" t="str">
            <v>SET</v>
          </cell>
        </row>
        <row r="169">
          <cell r="C169">
            <v>318</v>
          </cell>
          <cell r="D169" t="str">
            <v>-  5xRJ45+1xRJ11 MODULAR JACK</v>
          </cell>
          <cell r="E169">
            <v>1050</v>
          </cell>
          <cell r="F169">
            <v>300</v>
          </cell>
          <cell r="G169" t="str">
            <v>SET</v>
          </cell>
        </row>
        <row r="170">
          <cell r="C170">
            <v>319</v>
          </cell>
          <cell r="D170" t="str">
            <v>-  4xRJ45+2xRJ11 MODULAR JACK</v>
          </cell>
          <cell r="E170">
            <v>960</v>
          </cell>
          <cell r="F170">
            <v>300</v>
          </cell>
          <cell r="G170" t="str">
            <v>SET</v>
          </cell>
        </row>
        <row r="171">
          <cell r="C171">
            <v>320</v>
          </cell>
          <cell r="D171" t="str">
            <v>-  3xRJ45+3xRJ11 MODULAR JACK</v>
          </cell>
          <cell r="E171">
            <v>870</v>
          </cell>
          <cell r="F171">
            <v>300</v>
          </cell>
          <cell r="G171" t="str">
            <v>SET</v>
          </cell>
        </row>
        <row r="172">
          <cell r="C172">
            <v>321</v>
          </cell>
          <cell r="D172" t="str">
            <v>-  2xRJ45+4xRJ11 MODULAR JACK</v>
          </cell>
          <cell r="E172">
            <v>780</v>
          </cell>
          <cell r="F172">
            <v>300</v>
          </cell>
          <cell r="G172" t="str">
            <v>SET</v>
          </cell>
        </row>
        <row r="173">
          <cell r="C173">
            <v>836</v>
          </cell>
          <cell r="D173" t="str">
            <v>SPACE</v>
          </cell>
          <cell r="E173">
            <v>18000</v>
          </cell>
          <cell r="F173">
            <v>500</v>
          </cell>
          <cell r="G173" t="str">
            <v>M.</v>
          </cell>
        </row>
        <row r="174">
          <cell r="C174">
            <v>296</v>
          </cell>
          <cell r="D174" t="str">
            <v>COMMUNICATION CABLE</v>
          </cell>
          <cell r="E174">
            <v>1000</v>
          </cell>
          <cell r="F174">
            <v>100</v>
          </cell>
          <cell r="G174" t="str">
            <v>EA.</v>
          </cell>
        </row>
        <row r="175">
          <cell r="C175">
            <v>326</v>
          </cell>
          <cell r="D175" t="str">
            <v>-  3 PRS-CAT3 UTP</v>
          </cell>
          <cell r="E175">
            <v>9</v>
          </cell>
          <cell r="F175">
            <v>2</v>
          </cell>
          <cell r="G175" t="str">
            <v>M.</v>
          </cell>
        </row>
        <row r="176">
          <cell r="C176">
            <v>327</v>
          </cell>
          <cell r="D176" t="str">
            <v>-  4 PRS-CAT3 UTP</v>
          </cell>
          <cell r="E176">
            <v>10</v>
          </cell>
          <cell r="F176">
            <v>2</v>
          </cell>
          <cell r="G176" t="str">
            <v>M.</v>
          </cell>
        </row>
        <row r="177">
          <cell r="C177">
            <v>328</v>
          </cell>
          <cell r="D177" t="str">
            <v>-  25 PRS-CAT3 UTP</v>
          </cell>
          <cell r="E177">
            <v>55</v>
          </cell>
          <cell r="F177">
            <v>5</v>
          </cell>
          <cell r="G177" t="str">
            <v>M.</v>
          </cell>
        </row>
        <row r="178">
          <cell r="C178">
            <v>329</v>
          </cell>
          <cell r="D178" t="str">
            <v>-  4 PRS-CAT5 UTP</v>
          </cell>
          <cell r="E178">
            <v>20</v>
          </cell>
          <cell r="F178">
            <v>2</v>
          </cell>
          <cell r="G178" t="str">
            <v>M.</v>
          </cell>
        </row>
        <row r="179">
          <cell r="C179">
            <v>330</v>
          </cell>
          <cell r="D179" t="str">
            <v>-  4 PRS-CAT4 STP</v>
          </cell>
          <cell r="E179">
            <v>25</v>
          </cell>
          <cell r="F179">
            <v>2</v>
          </cell>
          <cell r="G179" t="str">
            <v>M.</v>
          </cell>
        </row>
        <row r="180">
          <cell r="C180">
            <v>331</v>
          </cell>
          <cell r="D180" t="str">
            <v>-  15 PRS-CAT5 STP</v>
          </cell>
          <cell r="E180">
            <v>30</v>
          </cell>
          <cell r="F180">
            <v>4</v>
          </cell>
          <cell r="G180" t="str">
            <v>M.</v>
          </cell>
        </row>
        <row r="181">
          <cell r="C181">
            <v>332</v>
          </cell>
          <cell r="D181" t="str">
            <v>-  1/C - 62.5/125 FIBER OPTIC</v>
          </cell>
          <cell r="E181">
            <v>25</v>
          </cell>
          <cell r="F181">
            <v>3</v>
          </cell>
          <cell r="G181" t="str">
            <v>M.</v>
          </cell>
        </row>
        <row r="182">
          <cell r="C182">
            <v>333</v>
          </cell>
          <cell r="D182" t="str">
            <v>-  2/C - 62.5/125 FIBER OPTIC</v>
          </cell>
          <cell r="E182">
            <v>50</v>
          </cell>
          <cell r="F182">
            <v>4</v>
          </cell>
          <cell r="G182" t="str">
            <v>M.</v>
          </cell>
        </row>
        <row r="183">
          <cell r="C183">
            <v>334</v>
          </cell>
          <cell r="D183" t="str">
            <v>-  2/C - 62.5/125 FIBER OPTIC, TIGHT BUFFER</v>
          </cell>
          <cell r="E183">
            <v>61</v>
          </cell>
          <cell r="F183">
            <v>4</v>
          </cell>
          <cell r="G183" t="str">
            <v>M.</v>
          </cell>
        </row>
        <row r="184">
          <cell r="C184">
            <v>335</v>
          </cell>
          <cell r="D184" t="str">
            <v>-  4/C - 62.5/125 FIBER OPTIC, TIGHT BUFFER</v>
          </cell>
          <cell r="E184">
            <v>100</v>
          </cell>
          <cell r="F184">
            <v>6</v>
          </cell>
          <cell r="G184" t="str">
            <v>M.</v>
          </cell>
        </row>
        <row r="185">
          <cell r="C185">
            <v>336</v>
          </cell>
          <cell r="D185" t="str">
            <v>-  6/C - 62.5/125 FIBER OPTIC, TIGHT BUFFER</v>
          </cell>
          <cell r="E185">
            <v>140</v>
          </cell>
          <cell r="F185">
            <v>8</v>
          </cell>
          <cell r="G185" t="str">
            <v>M.</v>
          </cell>
        </row>
        <row r="186">
          <cell r="C186">
            <v>337</v>
          </cell>
          <cell r="D186" t="str">
            <v>-  8/C - 62.5/125 FIBER OPTIC, TIGHT BUFFER</v>
          </cell>
          <cell r="E186">
            <v>186</v>
          </cell>
          <cell r="F186">
            <v>10</v>
          </cell>
          <cell r="G186" t="str">
            <v>M.</v>
          </cell>
        </row>
        <row r="187">
          <cell r="C187">
            <v>338</v>
          </cell>
          <cell r="D187" t="str">
            <v>-  12/C - 62.5/125 FIBER OPTIC, TIGHT BUFFER</v>
          </cell>
          <cell r="E187">
            <v>259</v>
          </cell>
          <cell r="F187">
            <v>15</v>
          </cell>
          <cell r="G187" t="str">
            <v>M.</v>
          </cell>
        </row>
        <row r="188">
          <cell r="C188">
            <v>339</v>
          </cell>
          <cell r="D188" t="str">
            <v>-  18/C - 62.5/125 FIBER OPTIC, TIGHT BUFFER</v>
          </cell>
          <cell r="E188">
            <v>478</v>
          </cell>
          <cell r="F188">
            <v>20</v>
          </cell>
          <cell r="G188" t="str">
            <v>M.</v>
          </cell>
        </row>
        <row r="189">
          <cell r="C189">
            <v>340</v>
          </cell>
          <cell r="D189" t="str">
            <v>-  24/C - 62.5/125 FIBER OPTIC, TIGHT BUFFER</v>
          </cell>
          <cell r="E189">
            <v>637</v>
          </cell>
          <cell r="F189">
            <v>25</v>
          </cell>
          <cell r="G189" t="str">
            <v>M.</v>
          </cell>
        </row>
        <row r="190">
          <cell r="C190">
            <v>341</v>
          </cell>
          <cell r="D190" t="str">
            <v>-  36/C - 62.5/125 FIBER OPTIC, TIGHT BUFFER</v>
          </cell>
          <cell r="E190">
            <v>960</v>
          </cell>
          <cell r="F190">
            <v>30</v>
          </cell>
          <cell r="G190" t="str">
            <v>M.</v>
          </cell>
        </row>
        <row r="191">
          <cell r="C191">
            <v>342</v>
          </cell>
          <cell r="D191" t="str">
            <v>-  2/C - 62.5/125 FIBER OPTIC, LOOSE BUFFER, SINGLE JACKET</v>
          </cell>
          <cell r="E191">
            <v>100</v>
          </cell>
          <cell r="F191">
            <v>10</v>
          </cell>
          <cell r="G191" t="str">
            <v>M.</v>
          </cell>
        </row>
        <row r="192">
          <cell r="C192">
            <v>343</v>
          </cell>
          <cell r="D192" t="str">
            <v>-  4/C - 62.5/125 FIBER OPTIC, LOOSE BUFFER, SINGLE JACKET</v>
          </cell>
          <cell r="E192">
            <v>130</v>
          </cell>
          <cell r="F192">
            <v>13</v>
          </cell>
          <cell r="G192" t="str">
            <v>M.</v>
          </cell>
        </row>
        <row r="193">
          <cell r="C193">
            <v>344</v>
          </cell>
          <cell r="D193" t="str">
            <v>-  6/C - 62.5/125 FIBER OPTIC, LOOSE BUFFER, SINGLE JACKET</v>
          </cell>
          <cell r="E193">
            <v>165</v>
          </cell>
          <cell r="F193">
            <v>16</v>
          </cell>
          <cell r="G193" t="str">
            <v>M.</v>
          </cell>
        </row>
        <row r="194">
          <cell r="C194">
            <v>345</v>
          </cell>
          <cell r="D194" t="str">
            <v>-  8/C - 62.5/125 FIBER OPTIC, LOOSE BUFFER, SINGLE JACKET</v>
          </cell>
          <cell r="E194">
            <v>203</v>
          </cell>
          <cell r="F194">
            <v>20</v>
          </cell>
          <cell r="G194" t="str">
            <v>M.</v>
          </cell>
        </row>
        <row r="195">
          <cell r="C195">
            <v>346</v>
          </cell>
          <cell r="D195" t="str">
            <v>-  10/C - 62.5/125 FIBER OPTIC, LOOSE BUFFER, SINGLE JACKET</v>
          </cell>
          <cell r="E195">
            <v>250</v>
          </cell>
          <cell r="F195">
            <v>25</v>
          </cell>
          <cell r="G195" t="str">
            <v>M.</v>
          </cell>
        </row>
        <row r="196">
          <cell r="C196">
            <v>347</v>
          </cell>
          <cell r="D196" t="str">
            <v>-  12/C - 62.5/125 FIBER OPTIC, LOOSE BUFFER, SINGLE JACKET</v>
          </cell>
          <cell r="E196">
            <v>273</v>
          </cell>
          <cell r="F196">
            <v>27</v>
          </cell>
          <cell r="G196" t="str">
            <v>M.</v>
          </cell>
        </row>
        <row r="197">
          <cell r="C197">
            <v>348</v>
          </cell>
          <cell r="D197" t="str">
            <v>-  18/C - 62.5/125 FIBER OPTIC, LOOSE BUFFER, SINGLE JACKET</v>
          </cell>
          <cell r="E197">
            <v>390</v>
          </cell>
          <cell r="F197">
            <v>35</v>
          </cell>
          <cell r="G197" t="str">
            <v>M.</v>
          </cell>
        </row>
        <row r="198">
          <cell r="C198">
            <v>349</v>
          </cell>
          <cell r="D198" t="str">
            <v>-  24/C - 62.5/125 FIBER OPTIC, LOOSE BUFFER, SINGLE JACKET</v>
          </cell>
          <cell r="E198">
            <v>500</v>
          </cell>
          <cell r="F198">
            <v>40</v>
          </cell>
          <cell r="G198" t="str">
            <v>M.</v>
          </cell>
        </row>
        <row r="199">
          <cell r="C199">
            <v>350</v>
          </cell>
          <cell r="D199" t="str">
            <v>-  36/C - 62.5/125 FIBER OPTIC, LOOSE BUFFER, SINGLE JACKET</v>
          </cell>
          <cell r="E199">
            <v>760</v>
          </cell>
          <cell r="F199">
            <v>55</v>
          </cell>
          <cell r="G199" t="str">
            <v>M.</v>
          </cell>
        </row>
        <row r="200">
          <cell r="C200">
            <v>351</v>
          </cell>
          <cell r="D200" t="str">
            <v>-  48/C - 62.5/125 FIBER OPTIC, LOOSE BUFFER, SINGLE JACKET</v>
          </cell>
          <cell r="E200">
            <v>1005</v>
          </cell>
          <cell r="F200">
            <v>70</v>
          </cell>
          <cell r="G200" t="str">
            <v>M.</v>
          </cell>
        </row>
        <row r="201">
          <cell r="C201">
            <v>352</v>
          </cell>
          <cell r="D201" t="str">
            <v>-  60/C - 62.5/125 FIBER OPTIC, LOOSE BUFFER, SINGLE JACKET</v>
          </cell>
          <cell r="E201">
            <v>1256</v>
          </cell>
          <cell r="F201">
            <v>80</v>
          </cell>
          <cell r="G201" t="str">
            <v>M.</v>
          </cell>
        </row>
        <row r="202">
          <cell r="C202">
            <v>353</v>
          </cell>
          <cell r="D202" t="str">
            <v>-  72/C - 62.5/125 FIBER OPTIC, LOOSE BUFFER, SINGLE JACKET</v>
          </cell>
          <cell r="E202">
            <v>1503</v>
          </cell>
          <cell r="F202">
            <v>90</v>
          </cell>
          <cell r="G202" t="str">
            <v>M.</v>
          </cell>
        </row>
        <row r="203">
          <cell r="C203">
            <v>354</v>
          </cell>
          <cell r="D203" t="str">
            <v>-  2/C - 62.5/125 FIBER OPTIC, LOOSE BUFFER, DOUBLE JACKET</v>
          </cell>
          <cell r="E203">
            <v>105</v>
          </cell>
          <cell r="F203">
            <v>12</v>
          </cell>
          <cell r="G203" t="str">
            <v>M.</v>
          </cell>
        </row>
        <row r="204">
          <cell r="C204">
            <v>355</v>
          </cell>
          <cell r="D204" t="str">
            <v>-  4/C - 62.5/125 FIBER OPTIC, LOOSE BUFFER, DOUBLE JACKET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-  6/C - 62.5/125 FIBER OPTIC, LOOSE BUFFER, DOUBLE JACKET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357</v>
          </cell>
          <cell r="D206" t="str">
            <v>-  8/C - 62.5/125 FIBER OPTIC, LOOSE BUFFER, DOUBLE JACKET</v>
          </cell>
          <cell r="E206">
            <v>230</v>
          </cell>
          <cell r="F206">
            <v>22</v>
          </cell>
          <cell r="G206" t="str">
            <v>M.</v>
          </cell>
        </row>
        <row r="207">
          <cell r="C207">
            <v>358</v>
          </cell>
          <cell r="D207" t="str">
            <v>-  10/C - 62.5/125 FIBER OPTIC, LOOSE BUFFER, DOUBLE JACKET</v>
          </cell>
          <cell r="E207">
            <v>261</v>
          </cell>
          <cell r="F207">
            <v>27</v>
          </cell>
          <cell r="G207" t="str">
            <v>M.</v>
          </cell>
        </row>
        <row r="208">
          <cell r="C208">
            <v>359</v>
          </cell>
          <cell r="D208" t="str">
            <v>-  12/C - 62.5/125 FIBER OPTIC, LOOSE BUFFER, DOUBLE JACKET</v>
          </cell>
          <cell r="E208">
            <v>290</v>
          </cell>
          <cell r="F208">
            <v>30</v>
          </cell>
          <cell r="G208" t="str">
            <v>M.</v>
          </cell>
        </row>
        <row r="209">
          <cell r="C209">
            <v>360</v>
          </cell>
          <cell r="D209" t="str">
            <v>-  18/C - 62.5/125 FIBER OPTIC, LOOSE BUFFER, DOUBLE JACKET</v>
          </cell>
          <cell r="E209">
            <v>402</v>
          </cell>
          <cell r="F209">
            <v>38</v>
          </cell>
          <cell r="G209" t="str">
            <v>M.</v>
          </cell>
        </row>
        <row r="210">
          <cell r="C210">
            <v>361</v>
          </cell>
          <cell r="D210" t="str">
            <v>-  24/C - 62.5/125 FIBER OPTIC, LOOSE BUFFER, DOUBLE JACKET</v>
          </cell>
          <cell r="E210">
            <v>511</v>
          </cell>
          <cell r="F210">
            <v>43</v>
          </cell>
          <cell r="G210" t="str">
            <v>M.</v>
          </cell>
        </row>
        <row r="211">
          <cell r="C211">
            <v>362</v>
          </cell>
          <cell r="D211" t="str">
            <v>-  36/C - 62.5/125 FIBER OPTIC, LOOSE BUFFER, DOUBLE JACKET</v>
          </cell>
          <cell r="E211">
            <v>771</v>
          </cell>
          <cell r="F211">
            <v>58</v>
          </cell>
          <cell r="G211" t="str">
            <v>M.</v>
          </cell>
        </row>
        <row r="212">
          <cell r="C212">
            <v>363</v>
          </cell>
          <cell r="D212" t="str">
            <v>-  48/C - 62.5/125 FIBER OPTIC, LOOSE BUFFER, DOUBLE JACKET</v>
          </cell>
          <cell r="E212">
            <v>1032</v>
          </cell>
          <cell r="F212">
            <v>75</v>
          </cell>
          <cell r="G212" t="str">
            <v>M.</v>
          </cell>
        </row>
        <row r="213">
          <cell r="C213">
            <v>364</v>
          </cell>
          <cell r="D213" t="str">
            <v>-  60/C - 62.5/125 FIBER OPTIC, LOOSE BUFFER, DOUBLE JACKET</v>
          </cell>
          <cell r="E213">
            <v>1312</v>
          </cell>
          <cell r="F213">
            <v>85</v>
          </cell>
          <cell r="G213" t="str">
            <v>M.</v>
          </cell>
        </row>
        <row r="214">
          <cell r="C214">
            <v>365</v>
          </cell>
          <cell r="D214" t="str">
            <v>-  72/C - 62.5/125 FIBER OPTIC, LOOSE BUFFER, DOUBLE JACKET</v>
          </cell>
          <cell r="E214">
            <v>1526</v>
          </cell>
          <cell r="F214">
            <v>95</v>
          </cell>
          <cell r="G214" t="str">
            <v>M.</v>
          </cell>
        </row>
        <row r="215">
          <cell r="C215">
            <v>366</v>
          </cell>
          <cell r="D215" t="str">
            <v>-  2/C - 62.5/125 FIBER OPTIC, LOOSE BUFFER, ARMORED</v>
          </cell>
          <cell r="E215">
            <v>154</v>
          </cell>
          <cell r="F215">
            <v>15</v>
          </cell>
          <cell r="G215" t="str">
            <v>M.</v>
          </cell>
        </row>
        <row r="216">
          <cell r="C216">
            <v>367</v>
          </cell>
          <cell r="D216" t="str">
            <v>-  4/C - 62.5/125 FIBER OPTIC, LOOSE BUFFER, ARMORED</v>
          </cell>
          <cell r="E216">
            <v>187</v>
          </cell>
          <cell r="F216">
            <v>18</v>
          </cell>
          <cell r="G216" t="str">
            <v>M.</v>
          </cell>
        </row>
        <row r="217">
          <cell r="C217">
            <v>368</v>
          </cell>
          <cell r="D217" t="str">
            <v>-  6/C - 62.5/125 FIBER OPTIC, LOOSE BUFFER, ARMORED</v>
          </cell>
          <cell r="E217">
            <v>218</v>
          </cell>
          <cell r="F217">
            <v>21</v>
          </cell>
          <cell r="G217" t="str">
            <v>M.</v>
          </cell>
        </row>
        <row r="218">
          <cell r="C218">
            <v>369</v>
          </cell>
          <cell r="D218" t="str">
            <v>-  8/C - 62.5/125 FIBER OPTIC, LOOSE BUFFER, ARMORED</v>
          </cell>
          <cell r="E218">
            <v>330</v>
          </cell>
          <cell r="F218">
            <v>25</v>
          </cell>
          <cell r="G218" t="str">
            <v>M.</v>
          </cell>
        </row>
        <row r="219">
          <cell r="C219">
            <v>370</v>
          </cell>
          <cell r="D219" t="str">
            <v>-  10/C - 62.5/125 FIBER OPTIC, LOOSE BUFFER, ARMORED</v>
          </cell>
          <cell r="E219">
            <v>414</v>
          </cell>
          <cell r="F219">
            <v>30</v>
          </cell>
          <cell r="G219" t="str">
            <v>M.</v>
          </cell>
        </row>
        <row r="220">
          <cell r="C220">
            <v>371</v>
          </cell>
          <cell r="D220" t="str">
            <v>-  12/C - 62.5/125 FIBER OPTIC, LOOSE BUFFER, ARMORED</v>
          </cell>
          <cell r="E220">
            <v>457</v>
          </cell>
          <cell r="F220">
            <v>33</v>
          </cell>
          <cell r="G220" t="str">
            <v>M.</v>
          </cell>
        </row>
        <row r="221">
          <cell r="C221">
            <v>372</v>
          </cell>
          <cell r="D221" t="str">
            <v>-  18/C - 62.5/125 FIBER OPTIC, LOOSE BUFFER, ARMORED</v>
          </cell>
          <cell r="E221">
            <v>600</v>
          </cell>
          <cell r="F221">
            <v>41</v>
          </cell>
          <cell r="G221" t="str">
            <v>M.</v>
          </cell>
        </row>
        <row r="222">
          <cell r="C222">
            <v>373</v>
          </cell>
          <cell r="D222" t="str">
            <v>-  24/C - 62.5/125 FIBER OPTIC, LOOSE BUFFER, ARMORED</v>
          </cell>
          <cell r="E222">
            <v>716</v>
          </cell>
          <cell r="F222">
            <v>46</v>
          </cell>
          <cell r="G222" t="str">
            <v>M.</v>
          </cell>
        </row>
        <row r="223">
          <cell r="C223">
            <v>374</v>
          </cell>
          <cell r="D223" t="str">
            <v>-  36/C - 62.5/125 FIBER OPTIC, LOOSE BUFFER, ARMORED</v>
          </cell>
          <cell r="E223">
            <v>991</v>
          </cell>
          <cell r="F223">
            <v>51</v>
          </cell>
          <cell r="G223" t="str">
            <v>M.</v>
          </cell>
        </row>
        <row r="224">
          <cell r="C224">
            <v>375</v>
          </cell>
          <cell r="D224" t="str">
            <v>-  48/C - 62.5/125 FIBER OPTIC, LOOSE BUFFER, ARMORED</v>
          </cell>
          <cell r="E224">
            <v>1210</v>
          </cell>
          <cell r="F224">
            <v>80</v>
          </cell>
          <cell r="G224" t="str">
            <v>M.</v>
          </cell>
        </row>
        <row r="225">
          <cell r="C225">
            <v>376</v>
          </cell>
          <cell r="D225" t="str">
            <v>-  60/C - 62.5/125 FIBER OPTIC, LOOSE BUFFER, ARMORED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</sheetData>
      <sheetData sheetId="2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CIRCUIT BREAKER &amp; BUSDUCT</v>
          </cell>
        </row>
        <row r="6">
          <cell r="C6">
            <v>1</v>
          </cell>
          <cell r="D6" t="str">
            <v>MOLDED CASE CIRCUIT BREAKER</v>
          </cell>
        </row>
        <row r="7">
          <cell r="C7">
            <v>101</v>
          </cell>
          <cell r="D7" t="str">
            <v>-  CB 1P 100 AF ; IC 10 KA.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102</v>
          </cell>
          <cell r="D8" t="str">
            <v>-  CB 1P 100 AF ; IC 18 KA.</v>
          </cell>
          <cell r="E8">
            <v>1500</v>
          </cell>
          <cell r="F8">
            <v>0</v>
          </cell>
          <cell r="G8" t="str">
            <v>EA.</v>
          </cell>
        </row>
        <row r="9">
          <cell r="C9">
            <v>103</v>
          </cell>
          <cell r="D9" t="str">
            <v>-  CB 1P 100 AF ; IC 25 KA.</v>
          </cell>
          <cell r="E9">
            <v>1600</v>
          </cell>
          <cell r="F9">
            <v>0</v>
          </cell>
          <cell r="G9" t="str">
            <v>EA.</v>
          </cell>
        </row>
        <row r="10">
          <cell r="C10">
            <v>103</v>
          </cell>
          <cell r="D10" t="str">
            <v>SPACE</v>
          </cell>
          <cell r="E10">
            <v>3000</v>
          </cell>
          <cell r="F10">
            <v>0</v>
          </cell>
          <cell r="G10" t="str">
            <v>EA.</v>
          </cell>
        </row>
        <row r="11">
          <cell r="C11">
            <v>111</v>
          </cell>
          <cell r="D11" t="str">
            <v>-  CB 2P 100 AF ; IC 10 KA.</v>
          </cell>
          <cell r="E11">
            <v>2200</v>
          </cell>
          <cell r="F11">
            <v>0</v>
          </cell>
          <cell r="G11" t="str">
            <v>EA.</v>
          </cell>
        </row>
        <row r="12">
          <cell r="C12">
            <v>112</v>
          </cell>
          <cell r="D12" t="str">
            <v>-  CB 2P 100 AF ; IC 18 KA.</v>
          </cell>
          <cell r="E12">
            <v>2200</v>
          </cell>
          <cell r="F12">
            <v>0</v>
          </cell>
          <cell r="G12" t="str">
            <v>EA.</v>
          </cell>
        </row>
        <row r="13">
          <cell r="C13">
            <v>113</v>
          </cell>
          <cell r="D13" t="str">
            <v>-  CB 2P 100 AF ; IC 25 KA.</v>
          </cell>
          <cell r="E13">
            <v>2500</v>
          </cell>
          <cell r="F13">
            <v>0</v>
          </cell>
          <cell r="G13" t="str">
            <v>EA.</v>
          </cell>
        </row>
        <row r="14">
          <cell r="C14">
            <v>114</v>
          </cell>
          <cell r="D14" t="str">
            <v>-  CB 2P 100 AF ; IC 50 KA.</v>
          </cell>
          <cell r="E14">
            <v>3900</v>
          </cell>
          <cell r="F14">
            <v>0</v>
          </cell>
          <cell r="G14" t="str">
            <v>EA.</v>
          </cell>
        </row>
        <row r="15">
          <cell r="C15">
            <v>115</v>
          </cell>
          <cell r="D15" t="str">
            <v>-  CB 2P 250 AF ; IC 25 KA.</v>
          </cell>
          <cell r="E15">
            <v>6000</v>
          </cell>
          <cell r="F15">
            <v>0</v>
          </cell>
          <cell r="G15" t="str">
            <v>EA.</v>
          </cell>
        </row>
        <row r="16">
          <cell r="C16">
            <v>116</v>
          </cell>
          <cell r="D16" t="str">
            <v>-  CB 2P 250 AF ; IC 35 KA.</v>
          </cell>
          <cell r="E16">
            <v>7000</v>
          </cell>
          <cell r="F16">
            <v>0</v>
          </cell>
          <cell r="G16" t="str">
            <v>EA.</v>
          </cell>
        </row>
        <row r="17">
          <cell r="C17">
            <v>117</v>
          </cell>
          <cell r="D17" t="str">
            <v>-  CB 2P 250 AF ; IC 50 KA.</v>
          </cell>
          <cell r="E17">
            <v>11000</v>
          </cell>
          <cell r="F17">
            <v>0</v>
          </cell>
          <cell r="G17" t="str">
            <v>EA.</v>
          </cell>
        </row>
        <row r="18">
          <cell r="C18">
            <v>118</v>
          </cell>
          <cell r="D18" t="str">
            <v>-  CB 2P 400 AF ; IC 30 KA.</v>
          </cell>
          <cell r="E18">
            <v>12000</v>
          </cell>
          <cell r="F18">
            <v>0</v>
          </cell>
          <cell r="G18" t="str">
            <v>EA.</v>
          </cell>
        </row>
        <row r="19">
          <cell r="C19">
            <v>119</v>
          </cell>
          <cell r="D19" t="str">
            <v>-  CB 2P 400 AF ; IC 35 KA.</v>
          </cell>
          <cell r="E19">
            <v>13000</v>
          </cell>
          <cell r="F19">
            <v>0</v>
          </cell>
          <cell r="G19" t="str">
            <v>EA.</v>
          </cell>
        </row>
        <row r="20">
          <cell r="C20">
            <v>120</v>
          </cell>
          <cell r="D20" t="str">
            <v>-  CB 2P 600 AF ; IC 50 KA.</v>
          </cell>
          <cell r="E20">
            <v>27000</v>
          </cell>
          <cell r="F20">
            <v>0</v>
          </cell>
          <cell r="G20" t="str">
            <v>EA.</v>
          </cell>
        </row>
        <row r="21">
          <cell r="C21">
            <v>121</v>
          </cell>
          <cell r="D21" t="str">
            <v>-  CB 2P 1,000 AF ; IC 30 KA.</v>
          </cell>
          <cell r="E21">
            <v>34000</v>
          </cell>
          <cell r="F21">
            <v>0</v>
          </cell>
          <cell r="G21" t="str">
            <v>EA.</v>
          </cell>
        </row>
        <row r="22">
          <cell r="C22">
            <v>122</v>
          </cell>
          <cell r="D22" t="str">
            <v>-  CB 2P 1,000 AF ; IC 50 KA.</v>
          </cell>
          <cell r="E22">
            <v>38000</v>
          </cell>
          <cell r="F22">
            <v>0</v>
          </cell>
          <cell r="G22" t="str">
            <v>EA.</v>
          </cell>
        </row>
        <row r="23">
          <cell r="C23">
            <v>123</v>
          </cell>
          <cell r="D23" t="str">
            <v>-  CB 2P 1,200 AF ; IC 50 KA.</v>
          </cell>
          <cell r="E23">
            <v>70000</v>
          </cell>
          <cell r="F23">
            <v>0</v>
          </cell>
          <cell r="G23" t="str">
            <v>EA.</v>
          </cell>
        </row>
        <row r="24">
          <cell r="C24">
            <v>122</v>
          </cell>
          <cell r="D24" t="str">
            <v>SPACE</v>
          </cell>
          <cell r="E24">
            <v>16000</v>
          </cell>
          <cell r="F24">
            <v>0</v>
          </cell>
          <cell r="G24" t="str">
            <v>SET</v>
          </cell>
        </row>
        <row r="25">
          <cell r="C25">
            <v>131</v>
          </cell>
          <cell r="D25" t="str">
            <v>-  CB 3P 100 AF ; IC 10 KA.</v>
          </cell>
          <cell r="E25">
            <v>2500</v>
          </cell>
          <cell r="F25">
            <v>0</v>
          </cell>
          <cell r="G25" t="str">
            <v>EA.</v>
          </cell>
        </row>
        <row r="26">
          <cell r="C26">
            <v>132</v>
          </cell>
          <cell r="D26" t="str">
            <v>-  CB 3P 100 AF ; IC 18 KA.</v>
          </cell>
          <cell r="E26">
            <v>2500</v>
          </cell>
          <cell r="F26">
            <v>0</v>
          </cell>
          <cell r="G26" t="str">
            <v>EA.</v>
          </cell>
        </row>
        <row r="27">
          <cell r="C27">
            <v>133</v>
          </cell>
          <cell r="D27" t="str">
            <v>-  CB 3P 100 AF ; IC 25 KA.</v>
          </cell>
          <cell r="E27">
            <v>2900</v>
          </cell>
          <cell r="F27">
            <v>0</v>
          </cell>
          <cell r="G27" t="str">
            <v>EA.</v>
          </cell>
        </row>
        <row r="28">
          <cell r="C28">
            <v>134</v>
          </cell>
          <cell r="D28" t="str">
            <v>-  CB 3P 100 AF ; IC 50 KA.</v>
          </cell>
          <cell r="E28">
            <v>5200</v>
          </cell>
          <cell r="F28">
            <v>0</v>
          </cell>
          <cell r="G28" t="str">
            <v>EA.</v>
          </cell>
        </row>
        <row r="29">
          <cell r="C29">
            <v>135</v>
          </cell>
          <cell r="D29" t="str">
            <v>-  CB 3P 250 AF ; IC 25 KA.</v>
          </cell>
          <cell r="E29">
            <v>7000</v>
          </cell>
          <cell r="F29">
            <v>0</v>
          </cell>
          <cell r="G29" t="str">
            <v>EA.</v>
          </cell>
        </row>
        <row r="30">
          <cell r="C30">
            <v>136</v>
          </cell>
          <cell r="D30" t="str">
            <v>-  CB 3P 250 AF ; IC 35 KA.</v>
          </cell>
          <cell r="E30">
            <v>8000</v>
          </cell>
          <cell r="F30">
            <v>0</v>
          </cell>
          <cell r="G30" t="str">
            <v>EA.</v>
          </cell>
        </row>
        <row r="31">
          <cell r="C31">
            <v>137</v>
          </cell>
          <cell r="D31" t="str">
            <v>-  CB 3P 250 AF ; IC 50 KA.</v>
          </cell>
          <cell r="E31">
            <v>13000</v>
          </cell>
          <cell r="F31">
            <v>0</v>
          </cell>
          <cell r="G31" t="str">
            <v>EA.</v>
          </cell>
        </row>
        <row r="32">
          <cell r="C32">
            <v>138</v>
          </cell>
          <cell r="D32" t="str">
            <v>-  CB 3P 400 AF ; IC 30 KA.</v>
          </cell>
          <cell r="E32">
            <v>12000</v>
          </cell>
          <cell r="F32">
            <v>0</v>
          </cell>
          <cell r="G32" t="str">
            <v>EA.</v>
          </cell>
        </row>
        <row r="33">
          <cell r="C33">
            <v>139</v>
          </cell>
          <cell r="D33" t="str">
            <v>-  CB 3P 400 AF ; IC 35 KA.</v>
          </cell>
          <cell r="E33">
            <v>13000</v>
          </cell>
          <cell r="F33">
            <v>0</v>
          </cell>
          <cell r="G33" t="str">
            <v>EA.</v>
          </cell>
        </row>
        <row r="34">
          <cell r="C34">
            <v>140</v>
          </cell>
          <cell r="D34" t="str">
            <v>-  CB 3P 600 AF ; IC 50 KA.</v>
          </cell>
          <cell r="E34">
            <v>27000</v>
          </cell>
          <cell r="F34">
            <v>0</v>
          </cell>
          <cell r="G34" t="str">
            <v>EA.</v>
          </cell>
        </row>
        <row r="35">
          <cell r="C35">
            <v>141</v>
          </cell>
          <cell r="D35" t="str">
            <v>-  CB 3P 1,000 AF ; IC 30 KA.</v>
          </cell>
          <cell r="E35">
            <v>34000</v>
          </cell>
          <cell r="F35">
            <v>0</v>
          </cell>
          <cell r="G35" t="str">
            <v>EA.</v>
          </cell>
        </row>
        <row r="36">
          <cell r="C36">
            <v>142</v>
          </cell>
          <cell r="D36" t="str">
            <v>-  CB 3P 1,000 AF ; IC 50 KA.</v>
          </cell>
          <cell r="E36">
            <v>38000</v>
          </cell>
          <cell r="F36">
            <v>0</v>
          </cell>
          <cell r="G36" t="str">
            <v>EA.</v>
          </cell>
        </row>
        <row r="37">
          <cell r="C37">
            <v>143</v>
          </cell>
          <cell r="D37" t="str">
            <v>-  CB 3P 1,200 AF ; IC 50 KA.</v>
          </cell>
          <cell r="E37">
            <v>70000</v>
          </cell>
          <cell r="F37">
            <v>0</v>
          </cell>
          <cell r="G37" t="str">
            <v>EA.</v>
          </cell>
        </row>
        <row r="38">
          <cell r="C38">
            <v>144</v>
          </cell>
          <cell r="D38" t="str">
            <v>-  CB 3P 2,000 AF ; IC 50 KA.</v>
          </cell>
          <cell r="E38">
            <v>70000</v>
          </cell>
          <cell r="F38">
            <v>0</v>
          </cell>
          <cell r="G38" t="str">
            <v>EA.</v>
          </cell>
        </row>
        <row r="39">
          <cell r="C39">
            <v>145</v>
          </cell>
          <cell r="D39" t="str">
            <v>-  CB 3P 2,000 AF ; IC 100 KA.</v>
          </cell>
          <cell r="E39">
            <v>80000</v>
          </cell>
          <cell r="F39">
            <v>0</v>
          </cell>
          <cell r="G39" t="str">
            <v>EA.</v>
          </cell>
        </row>
        <row r="40">
          <cell r="C40">
            <v>146</v>
          </cell>
          <cell r="D40" t="str">
            <v>-  CB 3P 2,500 AF ; IC 50 KA.</v>
          </cell>
          <cell r="E40">
            <v>100000</v>
          </cell>
          <cell r="F40">
            <v>0</v>
          </cell>
          <cell r="G40" t="str">
            <v>EA.</v>
          </cell>
        </row>
        <row r="41">
          <cell r="C41">
            <v>141</v>
          </cell>
          <cell r="D41" t="str">
            <v>SPACE</v>
          </cell>
          <cell r="E41">
            <v>13</v>
          </cell>
          <cell r="F41">
            <v>2</v>
          </cell>
          <cell r="G41" t="str">
            <v>M.</v>
          </cell>
        </row>
        <row r="42">
          <cell r="C42">
            <v>2</v>
          </cell>
          <cell r="D42" t="str">
            <v>ELECTRONIC TRIP MCCB</v>
          </cell>
          <cell r="E42">
            <v>15</v>
          </cell>
          <cell r="F42">
            <v>3</v>
          </cell>
          <cell r="G42" t="str">
            <v>M.</v>
          </cell>
        </row>
        <row r="43">
          <cell r="C43">
            <v>201</v>
          </cell>
          <cell r="D43" t="str">
            <v>-  ECB 3P 800 AF ; IC 65 KA.</v>
          </cell>
          <cell r="E43">
            <v>75000</v>
          </cell>
          <cell r="F43">
            <v>0</v>
          </cell>
          <cell r="G43" t="str">
            <v>EA.</v>
          </cell>
        </row>
        <row r="44">
          <cell r="C44">
            <v>202</v>
          </cell>
          <cell r="D44" t="str">
            <v>-  ECB 3P 1,200 AF ; IC 100 KA.</v>
          </cell>
          <cell r="E44">
            <v>110000</v>
          </cell>
          <cell r="F44">
            <v>0</v>
          </cell>
          <cell r="G44" t="str">
            <v>EA.</v>
          </cell>
        </row>
        <row r="45">
          <cell r="C45">
            <v>203</v>
          </cell>
          <cell r="D45" t="str">
            <v>-  ECB 3P 2,500 AF ; IC 100 KA.</v>
          </cell>
          <cell r="E45">
            <v>130000</v>
          </cell>
          <cell r="F45">
            <v>0</v>
          </cell>
          <cell r="G45" t="str">
            <v>EA.</v>
          </cell>
        </row>
        <row r="46">
          <cell r="C46">
            <v>146</v>
          </cell>
          <cell r="D46" t="str">
            <v>SPACE</v>
          </cell>
          <cell r="E46">
            <v>33</v>
          </cell>
          <cell r="F46">
            <v>4</v>
          </cell>
          <cell r="G46" t="str">
            <v>M.</v>
          </cell>
        </row>
        <row r="47">
          <cell r="C47">
            <v>3</v>
          </cell>
          <cell r="D47" t="str">
            <v>POWER AIR CIRCUIT BREAKER</v>
          </cell>
          <cell r="E47">
            <v>80</v>
          </cell>
          <cell r="F47">
            <v>50</v>
          </cell>
          <cell r="G47" t="str">
            <v>SET</v>
          </cell>
        </row>
        <row r="48">
          <cell r="C48">
            <v>301</v>
          </cell>
          <cell r="D48" t="str">
            <v>-  ACB 3P 200/800 AF ; IC 65 KA.</v>
          </cell>
          <cell r="E48">
            <v>167000</v>
          </cell>
          <cell r="F48">
            <v>0</v>
          </cell>
          <cell r="G48" t="str">
            <v>EA.</v>
          </cell>
        </row>
        <row r="49">
          <cell r="C49">
            <v>302</v>
          </cell>
          <cell r="D49" t="str">
            <v>-  ACB 3P 400/800 AF ; IC 65 KA.</v>
          </cell>
          <cell r="E49">
            <v>167000</v>
          </cell>
          <cell r="F49">
            <v>0</v>
          </cell>
          <cell r="G49" t="str">
            <v>EA.</v>
          </cell>
        </row>
        <row r="50">
          <cell r="C50">
            <v>303</v>
          </cell>
          <cell r="D50" t="str">
            <v>-  ACB 3P 800/800 AF ; IC 65 KA.</v>
          </cell>
          <cell r="E50">
            <v>167000</v>
          </cell>
          <cell r="F50">
            <v>0</v>
          </cell>
          <cell r="G50" t="str">
            <v>EA.</v>
          </cell>
        </row>
        <row r="51">
          <cell r="C51">
            <v>304</v>
          </cell>
          <cell r="D51" t="str">
            <v>-  ACB 3P 1,000/1,600 AF ; IC 65 KA.</v>
          </cell>
          <cell r="E51">
            <v>200000</v>
          </cell>
          <cell r="F51">
            <v>0</v>
          </cell>
          <cell r="G51" t="str">
            <v>EA.</v>
          </cell>
        </row>
        <row r="52">
          <cell r="C52">
            <v>305</v>
          </cell>
          <cell r="D52" t="str">
            <v>-  ACB 3P 1,600/1,600 AF ; IC 65 KA.</v>
          </cell>
          <cell r="E52">
            <v>200000</v>
          </cell>
          <cell r="F52">
            <v>0</v>
          </cell>
          <cell r="G52" t="str">
            <v>EA.</v>
          </cell>
        </row>
        <row r="53">
          <cell r="C53">
            <v>306</v>
          </cell>
          <cell r="D53" t="str">
            <v>-  ACB 3P 2,000/2,000 AF ; IC 65 KA.</v>
          </cell>
          <cell r="E53">
            <v>240000</v>
          </cell>
          <cell r="F53">
            <v>0</v>
          </cell>
          <cell r="G53" t="str">
            <v>EA.</v>
          </cell>
        </row>
        <row r="54">
          <cell r="C54">
            <v>307</v>
          </cell>
          <cell r="D54" t="str">
            <v>-  ACB 3P 1,000/2,500 AF ; IC 65 KA.</v>
          </cell>
          <cell r="E54">
            <v>300000</v>
          </cell>
          <cell r="F54">
            <v>0</v>
          </cell>
          <cell r="G54" t="str">
            <v>EA.</v>
          </cell>
        </row>
        <row r="55">
          <cell r="C55">
            <v>308</v>
          </cell>
          <cell r="D55" t="str">
            <v>-  ACB 3P 2,000/2,500 AF ; IC 65 KA.</v>
          </cell>
          <cell r="E55">
            <v>300000</v>
          </cell>
          <cell r="F55">
            <v>0</v>
          </cell>
          <cell r="G55" t="str">
            <v>EA.</v>
          </cell>
        </row>
        <row r="56">
          <cell r="C56">
            <v>309</v>
          </cell>
          <cell r="D56" t="str">
            <v>-  ACB 3P 2,500/2,500 AF ; IC 65 KA.</v>
          </cell>
          <cell r="E56">
            <v>300000</v>
          </cell>
          <cell r="F56">
            <v>0</v>
          </cell>
          <cell r="G56" t="str">
            <v>EA.</v>
          </cell>
        </row>
        <row r="57">
          <cell r="C57">
            <v>310</v>
          </cell>
          <cell r="D57" t="str">
            <v>-  ACB 3P 3,000/3,000 AF ; IC 65 KA.</v>
          </cell>
          <cell r="E57">
            <v>340000</v>
          </cell>
          <cell r="F57">
            <v>0</v>
          </cell>
          <cell r="G57" t="str">
            <v>EA.</v>
          </cell>
        </row>
        <row r="58">
          <cell r="C58">
            <v>311</v>
          </cell>
          <cell r="D58" t="str">
            <v>-  ACB 3P 4,000/4,000 AF ; IC 65 KA.</v>
          </cell>
          <cell r="E58">
            <v>440000</v>
          </cell>
          <cell r="F58">
            <v>0</v>
          </cell>
          <cell r="G58" t="str">
            <v>EA.</v>
          </cell>
        </row>
        <row r="59">
          <cell r="C59">
            <v>215</v>
          </cell>
          <cell r="D59" t="str">
            <v>SPACE</v>
          </cell>
          <cell r="E59">
            <v>40000</v>
          </cell>
          <cell r="F59">
            <v>1000</v>
          </cell>
          <cell r="G59" t="str">
            <v>SET</v>
          </cell>
        </row>
        <row r="60">
          <cell r="C60">
            <v>321</v>
          </cell>
          <cell r="D60" t="str">
            <v>-  ACB 3P 800/1,200 AF ; IC 65 KA.</v>
          </cell>
          <cell r="E60">
            <v>180000</v>
          </cell>
          <cell r="F60">
            <v>0</v>
          </cell>
          <cell r="G60" t="str">
            <v>EA.</v>
          </cell>
        </row>
        <row r="61">
          <cell r="C61">
            <v>322</v>
          </cell>
          <cell r="D61" t="str">
            <v>-  ACB 3P 1,200/1,200 AF ; IC 65 KA.</v>
          </cell>
          <cell r="E61">
            <v>180000</v>
          </cell>
          <cell r="F61">
            <v>0</v>
          </cell>
          <cell r="G61" t="str">
            <v>EA.</v>
          </cell>
        </row>
        <row r="62">
          <cell r="C62">
            <v>323</v>
          </cell>
          <cell r="D62" t="str">
            <v>-  ACB 3P 1,200/1,600 AF ; IC 65 KA.</v>
          </cell>
          <cell r="E62">
            <v>200000</v>
          </cell>
          <cell r="F62">
            <v>0</v>
          </cell>
          <cell r="G62" t="str">
            <v>EA.</v>
          </cell>
        </row>
        <row r="63">
          <cell r="C63">
            <v>324</v>
          </cell>
          <cell r="D63" t="str">
            <v>-  ACB 3P 1,600/1,600 AF ; IC 65 KA.</v>
          </cell>
          <cell r="E63">
            <v>200000</v>
          </cell>
          <cell r="F63">
            <v>0</v>
          </cell>
          <cell r="G63" t="str">
            <v>EA.</v>
          </cell>
        </row>
        <row r="64">
          <cell r="C64">
            <v>325</v>
          </cell>
          <cell r="D64" t="str">
            <v>-  ACB 3P 1,600/2,000 AF ; IC 65 KA.</v>
          </cell>
          <cell r="E64">
            <v>240000</v>
          </cell>
          <cell r="F64">
            <v>0</v>
          </cell>
          <cell r="G64" t="str">
            <v>EA.</v>
          </cell>
        </row>
        <row r="65">
          <cell r="C65">
            <v>326</v>
          </cell>
          <cell r="D65" t="str">
            <v>-  ACB 3P 2,000/2,000 AF ; IC 65 KA.</v>
          </cell>
          <cell r="E65">
            <v>240000</v>
          </cell>
          <cell r="F65">
            <v>0</v>
          </cell>
          <cell r="G65" t="str">
            <v>EA.</v>
          </cell>
        </row>
        <row r="66">
          <cell r="C66">
            <v>327</v>
          </cell>
          <cell r="D66" t="str">
            <v>-  ACB 3P 2,000/2,500 AF ; IC 65 KA.</v>
          </cell>
          <cell r="E66">
            <v>300000</v>
          </cell>
          <cell r="F66">
            <v>0</v>
          </cell>
          <cell r="G66" t="str">
            <v>EA.</v>
          </cell>
        </row>
        <row r="67">
          <cell r="C67">
            <v>328</v>
          </cell>
          <cell r="D67" t="str">
            <v>-  ACB 3P 2,500/2,500 AF ; IC 65 KA.</v>
          </cell>
          <cell r="E67">
            <v>300000</v>
          </cell>
          <cell r="F67">
            <v>0</v>
          </cell>
          <cell r="G67" t="str">
            <v>EA.</v>
          </cell>
        </row>
        <row r="68">
          <cell r="C68">
            <v>329</v>
          </cell>
          <cell r="D68" t="str">
            <v>-  ACB 3P 2,500/3,000 AF ; IC 65 KA.</v>
          </cell>
          <cell r="E68">
            <v>340000</v>
          </cell>
          <cell r="F68">
            <v>0</v>
          </cell>
          <cell r="G68" t="str">
            <v>EA.</v>
          </cell>
        </row>
        <row r="69">
          <cell r="C69">
            <v>330</v>
          </cell>
          <cell r="D69" t="str">
            <v>-  ACB 3P 3,000/3,500 AF ; IC 65 KA.</v>
          </cell>
          <cell r="E69">
            <v>340000</v>
          </cell>
          <cell r="F69">
            <v>0</v>
          </cell>
          <cell r="G69" t="str">
            <v>EA.</v>
          </cell>
        </row>
        <row r="70">
          <cell r="C70">
            <v>331</v>
          </cell>
          <cell r="D70" t="str">
            <v>-  ACB 3P 3,500/4,000 AF ; IC 65 KA.</v>
          </cell>
          <cell r="E70">
            <v>440000</v>
          </cell>
          <cell r="F70">
            <v>0</v>
          </cell>
          <cell r="G70" t="str">
            <v>EA.</v>
          </cell>
        </row>
        <row r="71">
          <cell r="C71">
            <v>332</v>
          </cell>
          <cell r="D71" t="str">
            <v>-  ACB 3P 4,000/4,000 AF ; IC 65 KA.</v>
          </cell>
          <cell r="E71">
            <v>440000</v>
          </cell>
          <cell r="F71">
            <v>0</v>
          </cell>
          <cell r="G71" t="str">
            <v>EA.</v>
          </cell>
        </row>
        <row r="72">
          <cell r="C72">
            <v>333</v>
          </cell>
          <cell r="D72" t="str">
            <v>-  ACB 3P 4,000/5,000 AF ; IC 65 KA.</v>
          </cell>
          <cell r="E72">
            <v>1000000</v>
          </cell>
          <cell r="F72">
            <v>0</v>
          </cell>
          <cell r="G72" t="str">
            <v>EA.</v>
          </cell>
        </row>
        <row r="73">
          <cell r="C73">
            <v>334</v>
          </cell>
          <cell r="D73" t="str">
            <v>-  ACB 3P 5,000/5,000 AF ; IC 65 KA.</v>
          </cell>
          <cell r="E73">
            <v>1000000</v>
          </cell>
          <cell r="F73">
            <v>0</v>
          </cell>
          <cell r="G73" t="str">
            <v>EA.</v>
          </cell>
        </row>
        <row r="74">
          <cell r="C74">
            <v>335</v>
          </cell>
          <cell r="D74" t="str">
            <v>-  ACB 3P 5,000/6,300 AF ; IC 65 KA.</v>
          </cell>
          <cell r="E74">
            <v>1200000</v>
          </cell>
          <cell r="F74">
            <v>0</v>
          </cell>
          <cell r="G74" t="str">
            <v>EA.</v>
          </cell>
        </row>
        <row r="75">
          <cell r="C75">
            <v>336</v>
          </cell>
          <cell r="D75" t="str">
            <v>-  ACB 3P 6,300/6,300 AF ; IC 65 KA.</v>
          </cell>
          <cell r="E75">
            <v>1200000</v>
          </cell>
          <cell r="F75">
            <v>0</v>
          </cell>
          <cell r="G75" t="str">
            <v>EA.</v>
          </cell>
        </row>
        <row r="76">
          <cell r="C76">
            <v>316</v>
          </cell>
          <cell r="D76" t="str">
            <v>SPACE</v>
          </cell>
          <cell r="E76">
            <v>250000</v>
          </cell>
          <cell r="F76">
            <v>3000</v>
          </cell>
          <cell r="G76" t="str">
            <v>SET</v>
          </cell>
        </row>
        <row r="77">
          <cell r="C77">
            <v>4</v>
          </cell>
          <cell r="D77" t="str">
            <v>EARTH LEAKAGE CB</v>
          </cell>
          <cell r="E77">
            <v>32900</v>
          </cell>
          <cell r="F77">
            <v>1000</v>
          </cell>
          <cell r="G77" t="str">
            <v>SET</v>
          </cell>
        </row>
        <row r="78">
          <cell r="C78">
            <v>401</v>
          </cell>
          <cell r="D78" t="str">
            <v>-  RCD 1P 10 AT 10 mA. ; 5 KA.</v>
          </cell>
          <cell r="E78">
            <v>1500</v>
          </cell>
          <cell r="F78">
            <v>0</v>
          </cell>
          <cell r="G78" t="str">
            <v>EA.</v>
          </cell>
        </row>
        <row r="79">
          <cell r="C79">
            <v>402</v>
          </cell>
          <cell r="D79" t="str">
            <v>-  RCD 1P 16 AT 10 mA. ; 5 KA.</v>
          </cell>
          <cell r="E79">
            <v>1500</v>
          </cell>
          <cell r="F79">
            <v>0</v>
          </cell>
          <cell r="G79" t="str">
            <v>EA.</v>
          </cell>
        </row>
        <row r="80">
          <cell r="C80">
            <v>403</v>
          </cell>
          <cell r="D80" t="str">
            <v>-  RCD 1P 20 AT 10 mA. ; 5 KA.</v>
          </cell>
          <cell r="E80">
            <v>1500</v>
          </cell>
          <cell r="F80">
            <v>0</v>
          </cell>
          <cell r="G80" t="str">
            <v>EA.</v>
          </cell>
        </row>
        <row r="81">
          <cell r="C81">
            <v>404</v>
          </cell>
          <cell r="D81" t="str">
            <v>-  RCD 1P 32 AT 10 mA. ; 5 KA.</v>
          </cell>
          <cell r="E81">
            <v>1500</v>
          </cell>
          <cell r="F81">
            <v>0</v>
          </cell>
          <cell r="G81" t="str">
            <v>EA.</v>
          </cell>
        </row>
        <row r="82">
          <cell r="C82">
            <v>405</v>
          </cell>
          <cell r="D82" t="str">
            <v>-  RCD 1P 40 AT 10 mA. ; 10 KA.</v>
          </cell>
          <cell r="E82">
            <v>2400</v>
          </cell>
          <cell r="F82">
            <v>0</v>
          </cell>
          <cell r="G82" t="str">
            <v>EA.</v>
          </cell>
        </row>
        <row r="83">
          <cell r="C83">
            <v>406</v>
          </cell>
          <cell r="D83" t="str">
            <v>-  RCD 1P 16 AT 10 mA. ; 10 KA.</v>
          </cell>
          <cell r="E83">
            <v>2800</v>
          </cell>
          <cell r="F83">
            <v>0</v>
          </cell>
          <cell r="G83" t="str">
            <v>EA.</v>
          </cell>
        </row>
        <row r="84">
          <cell r="C84">
            <v>407</v>
          </cell>
          <cell r="D84" t="str">
            <v>-  RCD 1P 20 AT 10 mA. ; 10 KA.</v>
          </cell>
          <cell r="E84">
            <v>2800</v>
          </cell>
          <cell r="F84">
            <v>0</v>
          </cell>
          <cell r="G84" t="str">
            <v>EA.</v>
          </cell>
        </row>
        <row r="85">
          <cell r="C85">
            <v>408</v>
          </cell>
          <cell r="D85" t="str">
            <v>-  RCD 1P 32 AT 10 mA. ; 10 KA.</v>
          </cell>
          <cell r="E85">
            <v>2800</v>
          </cell>
          <cell r="F85">
            <v>0</v>
          </cell>
          <cell r="G85" t="str">
            <v>EA.</v>
          </cell>
        </row>
        <row r="86">
          <cell r="C86">
            <v>409</v>
          </cell>
          <cell r="D86" t="str">
            <v>-  RCD 1P 45 AT 10 mA. ; 10 KA.</v>
          </cell>
          <cell r="E86">
            <v>2800</v>
          </cell>
          <cell r="F86">
            <v>0</v>
          </cell>
          <cell r="G86" t="str">
            <v>EA.</v>
          </cell>
        </row>
        <row r="87">
          <cell r="C87">
            <v>410</v>
          </cell>
          <cell r="D87" t="str">
            <v>-  RCD 1P 63 AT 10 mA. ; 10 KA.</v>
          </cell>
          <cell r="E87">
            <v>2800</v>
          </cell>
          <cell r="F87">
            <v>0</v>
          </cell>
          <cell r="G87" t="str">
            <v>EA.</v>
          </cell>
        </row>
        <row r="88">
          <cell r="C88">
            <v>411</v>
          </cell>
          <cell r="D88" t="str">
            <v>-  RCD 4P 16 AT 10 mA. ; 5 KA.</v>
          </cell>
          <cell r="E88">
            <v>10000</v>
          </cell>
          <cell r="F88">
            <v>0</v>
          </cell>
          <cell r="G88" t="str">
            <v>EA.</v>
          </cell>
        </row>
        <row r="89">
          <cell r="C89">
            <v>412</v>
          </cell>
          <cell r="D89" t="str">
            <v>-  RCD 4P 20 AT 10 mA. ; 5 KA.</v>
          </cell>
          <cell r="E89">
            <v>10000</v>
          </cell>
          <cell r="F89">
            <v>0</v>
          </cell>
          <cell r="G89" t="str">
            <v>EA.</v>
          </cell>
        </row>
        <row r="90">
          <cell r="C90">
            <v>413</v>
          </cell>
          <cell r="D90" t="str">
            <v>-  RCD 4P 32 AT 10 mA. ; 5 KA.</v>
          </cell>
          <cell r="E90">
            <v>10000</v>
          </cell>
          <cell r="F90">
            <v>0</v>
          </cell>
          <cell r="G90" t="str">
            <v>EA.</v>
          </cell>
        </row>
        <row r="91">
          <cell r="C91">
            <v>414</v>
          </cell>
          <cell r="D91" t="str">
            <v>-  RCD 4P 40 AT 10 mA. ; 10 KA.</v>
          </cell>
          <cell r="E91">
            <v>10000</v>
          </cell>
          <cell r="F91">
            <v>0</v>
          </cell>
          <cell r="G91" t="str">
            <v>EA.</v>
          </cell>
        </row>
        <row r="92">
          <cell r="C92">
            <v>415</v>
          </cell>
          <cell r="D92" t="str">
            <v>-  RCD 4P 50 AT 10 mA. ; 10 KA.</v>
          </cell>
          <cell r="E92">
            <v>10000</v>
          </cell>
          <cell r="F92">
            <v>0</v>
          </cell>
          <cell r="G92" t="str">
            <v>EA.</v>
          </cell>
        </row>
        <row r="93">
          <cell r="C93">
            <v>416</v>
          </cell>
          <cell r="D93" t="str">
            <v>-  RCD 4P 63 AT 10 mA. ; 10 KA.</v>
          </cell>
          <cell r="E93">
            <v>10000</v>
          </cell>
          <cell r="F93">
            <v>0</v>
          </cell>
          <cell r="G93" t="str">
            <v>EA.</v>
          </cell>
        </row>
        <row r="94">
          <cell r="C94">
            <v>417</v>
          </cell>
          <cell r="D94" t="str">
            <v>-  RCD 4P 80 AT 10 mA. ; 10 KA.</v>
          </cell>
          <cell r="E94">
            <v>10000</v>
          </cell>
          <cell r="F94">
            <v>0</v>
          </cell>
          <cell r="G94" t="str">
            <v>EA.</v>
          </cell>
        </row>
        <row r="95">
          <cell r="C95">
            <v>418</v>
          </cell>
          <cell r="D95" t="str">
            <v>-  RCD 4P 100 AT 10 mA. ; 10 KA.</v>
          </cell>
          <cell r="E95">
            <v>10000</v>
          </cell>
          <cell r="F95">
            <v>0</v>
          </cell>
          <cell r="G95" t="str">
            <v>EA.</v>
          </cell>
        </row>
        <row r="96">
          <cell r="C96">
            <v>346</v>
          </cell>
          <cell r="D96" t="str">
            <v>SPACE</v>
          </cell>
          <cell r="E96">
            <v>24000</v>
          </cell>
          <cell r="F96">
            <v>500</v>
          </cell>
          <cell r="G96" t="str">
            <v>SET</v>
          </cell>
        </row>
        <row r="97">
          <cell r="C97">
            <v>5</v>
          </cell>
          <cell r="D97" t="str">
            <v>ACCESSORIES OF CB</v>
          </cell>
          <cell r="E97">
            <v>36000</v>
          </cell>
          <cell r="F97">
            <v>500</v>
          </cell>
          <cell r="G97" t="str">
            <v>SET</v>
          </cell>
        </row>
        <row r="98">
          <cell r="C98">
            <v>501</v>
          </cell>
          <cell r="D98" t="str">
            <v>-  GROUND FAULT RELAY</v>
          </cell>
          <cell r="E98">
            <v>12000</v>
          </cell>
          <cell r="F98">
            <v>0</v>
          </cell>
          <cell r="G98" t="str">
            <v>EA.</v>
          </cell>
        </row>
        <row r="99">
          <cell r="C99">
            <v>502</v>
          </cell>
          <cell r="D99" t="str">
            <v>-  SHUNT TRIP</v>
          </cell>
          <cell r="E99">
            <v>12000</v>
          </cell>
          <cell r="F99">
            <v>0</v>
          </cell>
          <cell r="G99" t="str">
            <v>EA.</v>
          </cell>
        </row>
        <row r="100">
          <cell r="C100">
            <v>503</v>
          </cell>
          <cell r="D100" t="str">
            <v>-  UNDER VOLTAGE RELAY</v>
          </cell>
          <cell r="E100">
            <v>6000</v>
          </cell>
          <cell r="F100">
            <v>0</v>
          </cell>
          <cell r="G100" t="str">
            <v>EA.</v>
          </cell>
        </row>
        <row r="101">
          <cell r="C101">
            <v>504</v>
          </cell>
          <cell r="D101" t="str">
            <v>-  PHASE SEQUENCE RELAY</v>
          </cell>
          <cell r="E101">
            <v>6000</v>
          </cell>
          <cell r="F101">
            <v>0</v>
          </cell>
          <cell r="G101" t="str">
            <v>EA.</v>
          </cell>
        </row>
        <row r="102">
          <cell r="C102">
            <v>505</v>
          </cell>
          <cell r="D102" t="str">
            <v>-  AUXILIARY SWITCHES</v>
          </cell>
          <cell r="E102">
            <v>3400</v>
          </cell>
          <cell r="F102">
            <v>0</v>
          </cell>
          <cell r="G102" t="str">
            <v>EA.</v>
          </cell>
        </row>
        <row r="103">
          <cell r="C103">
            <v>506</v>
          </cell>
          <cell r="D103" t="str">
            <v>-  SPRING CHARGING MOTOR</v>
          </cell>
          <cell r="E103">
            <v>30000</v>
          </cell>
          <cell r="F103">
            <v>0</v>
          </cell>
          <cell r="G103" t="str">
            <v>EA.</v>
          </cell>
        </row>
        <row r="104">
          <cell r="C104">
            <v>507</v>
          </cell>
          <cell r="D104" t="str">
            <v>-  KEY INTERLOCK</v>
          </cell>
          <cell r="E104">
            <v>15000</v>
          </cell>
          <cell r="F104">
            <v>0</v>
          </cell>
          <cell r="G104" t="str">
            <v>EA.</v>
          </cell>
        </row>
        <row r="105">
          <cell r="C105">
            <v>356</v>
          </cell>
          <cell r="D105" t="str">
            <v>SPACE</v>
          </cell>
          <cell r="E105">
            <v>3570</v>
          </cell>
          <cell r="F105">
            <v>100</v>
          </cell>
          <cell r="G105" t="str">
            <v>SET</v>
          </cell>
        </row>
        <row r="106">
          <cell r="C106">
            <v>6</v>
          </cell>
          <cell r="D106" t="str">
            <v>ATS</v>
          </cell>
          <cell r="E106">
            <v>2950</v>
          </cell>
          <cell r="F106">
            <v>100</v>
          </cell>
          <cell r="G106" t="str">
            <v>SET</v>
          </cell>
        </row>
        <row r="107">
          <cell r="C107">
            <v>601</v>
          </cell>
          <cell r="D107" t="str">
            <v>-  ATS 3P 100 AF 50 KA.</v>
          </cell>
          <cell r="E107">
            <v>87000</v>
          </cell>
          <cell r="F107">
            <v>0</v>
          </cell>
          <cell r="G107" t="str">
            <v>EA.</v>
          </cell>
        </row>
        <row r="108">
          <cell r="C108">
            <v>602</v>
          </cell>
          <cell r="D108" t="str">
            <v>-  ATS 3P 250 AF 35 KA.</v>
          </cell>
          <cell r="E108">
            <v>92000</v>
          </cell>
          <cell r="F108">
            <v>0</v>
          </cell>
          <cell r="G108" t="str">
            <v>EA.</v>
          </cell>
        </row>
        <row r="109">
          <cell r="C109">
            <v>603</v>
          </cell>
          <cell r="D109" t="str">
            <v>-  ATS 3P 250 AF 50 KA.</v>
          </cell>
          <cell r="E109">
            <v>102000</v>
          </cell>
          <cell r="F109">
            <v>0</v>
          </cell>
          <cell r="G109" t="str">
            <v>EA.</v>
          </cell>
        </row>
        <row r="110">
          <cell r="C110">
            <v>604</v>
          </cell>
          <cell r="D110" t="str">
            <v>-  ATS 3P 400 AF 35 KA.</v>
          </cell>
          <cell r="E110">
            <v>102000</v>
          </cell>
          <cell r="F110">
            <v>0</v>
          </cell>
          <cell r="G110" t="str">
            <v>EA.</v>
          </cell>
        </row>
        <row r="111">
          <cell r="C111">
            <v>605</v>
          </cell>
          <cell r="D111" t="str">
            <v>-  ATS 3P 600 AF 50 KA.</v>
          </cell>
          <cell r="E111">
            <v>130000</v>
          </cell>
          <cell r="F111">
            <v>0</v>
          </cell>
          <cell r="G111" t="str">
            <v>EA.</v>
          </cell>
        </row>
        <row r="112">
          <cell r="C112">
            <v>606</v>
          </cell>
          <cell r="D112" t="str">
            <v>-  ATS 3P 1,000 AF 50 KA.</v>
          </cell>
          <cell r="E112">
            <v>152000</v>
          </cell>
          <cell r="F112">
            <v>0</v>
          </cell>
          <cell r="G112" t="str">
            <v>EA.</v>
          </cell>
        </row>
        <row r="113">
          <cell r="C113">
            <v>607</v>
          </cell>
          <cell r="D113" t="str">
            <v>-  ATS 3P 1,600 AF 65 KA.</v>
          </cell>
          <cell r="E113">
            <v>467000</v>
          </cell>
          <cell r="F113">
            <v>0</v>
          </cell>
          <cell r="G113" t="str">
            <v>EA.</v>
          </cell>
        </row>
        <row r="114">
          <cell r="C114">
            <v>608</v>
          </cell>
          <cell r="D114" t="str">
            <v>-  ATS 3P 2,000 AF 65 KA.</v>
          </cell>
          <cell r="E114">
            <v>547000</v>
          </cell>
          <cell r="F114">
            <v>0</v>
          </cell>
          <cell r="G114" t="str">
            <v>EA.</v>
          </cell>
        </row>
        <row r="115">
          <cell r="C115">
            <v>609</v>
          </cell>
          <cell r="D115" t="str">
            <v>-  ATS 3P 2,500 AF 65 KA.</v>
          </cell>
          <cell r="E115">
            <v>667000</v>
          </cell>
          <cell r="F115">
            <v>0</v>
          </cell>
          <cell r="G115" t="str">
            <v>EA.</v>
          </cell>
        </row>
        <row r="116">
          <cell r="C116">
            <v>610</v>
          </cell>
          <cell r="D116" t="str">
            <v>-  ATS 3P 3,000 AF 65 KA.</v>
          </cell>
          <cell r="E116">
            <v>747000</v>
          </cell>
          <cell r="F116">
            <v>0</v>
          </cell>
          <cell r="G116" t="str">
            <v>EA.</v>
          </cell>
        </row>
        <row r="117">
          <cell r="C117">
            <v>234</v>
          </cell>
          <cell r="D117" t="str">
            <v>SPACE</v>
          </cell>
          <cell r="E117">
            <v>6000</v>
          </cell>
          <cell r="F117">
            <v>300</v>
          </cell>
          <cell r="G117" t="str">
            <v>EA.</v>
          </cell>
        </row>
        <row r="118">
          <cell r="C118">
            <v>7</v>
          </cell>
          <cell r="D118" t="str">
            <v>PLUG IN CB</v>
          </cell>
          <cell r="E118">
            <v>10000</v>
          </cell>
          <cell r="F118">
            <v>400</v>
          </cell>
          <cell r="G118" t="str">
            <v>EA.</v>
          </cell>
        </row>
        <row r="119">
          <cell r="C119">
            <v>701</v>
          </cell>
          <cell r="D119" t="str">
            <v>-  CB 3P 100 AF 10 KA.  (PLUG-IN)</v>
          </cell>
          <cell r="E119">
            <v>10000</v>
          </cell>
          <cell r="F119">
            <v>500</v>
          </cell>
          <cell r="G119" t="str">
            <v>EA.</v>
          </cell>
        </row>
        <row r="120">
          <cell r="C120">
            <v>702</v>
          </cell>
          <cell r="D120" t="str">
            <v>-  CB 3P 100 AF 25 KA.  (PLUG-IN)</v>
          </cell>
          <cell r="E120">
            <v>11000</v>
          </cell>
          <cell r="F120">
            <v>500</v>
          </cell>
          <cell r="G120" t="str">
            <v>EA.</v>
          </cell>
        </row>
        <row r="121">
          <cell r="C121">
            <v>703</v>
          </cell>
          <cell r="D121" t="str">
            <v>-  CB 3P 100 AF 65 KA.  (PLUG-IN)</v>
          </cell>
          <cell r="E121">
            <v>14000</v>
          </cell>
          <cell r="F121">
            <v>500</v>
          </cell>
          <cell r="G121" t="str">
            <v>EA.</v>
          </cell>
        </row>
        <row r="122">
          <cell r="C122">
            <v>704</v>
          </cell>
          <cell r="D122" t="str">
            <v>-  CB 3P 250 AF 25 KA.  (PLUG-IN)</v>
          </cell>
          <cell r="E122">
            <v>15000</v>
          </cell>
          <cell r="F122">
            <v>500</v>
          </cell>
          <cell r="G122" t="str">
            <v>EA.</v>
          </cell>
        </row>
        <row r="123">
          <cell r="C123">
            <v>705</v>
          </cell>
          <cell r="D123" t="str">
            <v>-  CB 3P 250 AF 35 KA.  (PLUG-IN)</v>
          </cell>
          <cell r="E123">
            <v>16000</v>
          </cell>
          <cell r="F123">
            <v>500</v>
          </cell>
          <cell r="G123" t="str">
            <v>EA.</v>
          </cell>
        </row>
        <row r="124">
          <cell r="C124">
            <v>706</v>
          </cell>
          <cell r="D124" t="str">
            <v>-  CB 3P 250 AF 65 KA.  (PLUG-IN)</v>
          </cell>
          <cell r="E124">
            <v>22000</v>
          </cell>
          <cell r="F124">
            <v>500</v>
          </cell>
          <cell r="G124" t="str">
            <v>EA.</v>
          </cell>
        </row>
        <row r="125">
          <cell r="C125">
            <v>707</v>
          </cell>
          <cell r="D125" t="str">
            <v>-  CB 3P 400 AF 30 KA.  (PLUG-IN)</v>
          </cell>
          <cell r="E125">
            <v>38000</v>
          </cell>
          <cell r="F125">
            <v>500</v>
          </cell>
          <cell r="G125" t="str">
            <v>EA.</v>
          </cell>
        </row>
        <row r="126">
          <cell r="C126">
            <v>708</v>
          </cell>
          <cell r="D126" t="str">
            <v>-  CB 3P 400 AF 35 KA.  (PLUG-IN)</v>
          </cell>
          <cell r="E126">
            <v>40000</v>
          </cell>
          <cell r="F126">
            <v>500</v>
          </cell>
          <cell r="G126" t="str">
            <v>EA.</v>
          </cell>
        </row>
        <row r="127">
          <cell r="C127">
            <v>709</v>
          </cell>
          <cell r="D127" t="str">
            <v>-  CB 3P 600 AF 65 KA.  (PLUG-IN)</v>
          </cell>
          <cell r="E127">
            <v>120000</v>
          </cell>
          <cell r="F127">
            <v>600</v>
          </cell>
          <cell r="G127" t="str">
            <v>EA.</v>
          </cell>
        </row>
        <row r="128">
          <cell r="C128">
            <v>710</v>
          </cell>
          <cell r="D128" t="str">
            <v>-  CB 3P 800 AF 30 KA.  (PLUG-IN)</v>
          </cell>
          <cell r="E128">
            <v>92000</v>
          </cell>
          <cell r="F128">
            <v>600</v>
          </cell>
          <cell r="G128" t="str">
            <v>EA.</v>
          </cell>
        </row>
        <row r="129">
          <cell r="C129">
            <v>711</v>
          </cell>
          <cell r="D129" t="str">
            <v>-  CB 3P 800 AF 65 KA.  (PLUG-IN)</v>
          </cell>
          <cell r="E129">
            <v>94000</v>
          </cell>
          <cell r="F129">
            <v>600</v>
          </cell>
          <cell r="G129" t="str">
            <v>EA.</v>
          </cell>
        </row>
        <row r="130">
          <cell r="C130">
            <v>712</v>
          </cell>
          <cell r="D130" t="str">
            <v>-  CB 3P 1,000 AF 30 KA.  (PLUG-IN)</v>
          </cell>
          <cell r="E130">
            <v>100000</v>
          </cell>
          <cell r="F130">
            <v>600</v>
          </cell>
          <cell r="G130" t="str">
            <v>EA.</v>
          </cell>
        </row>
        <row r="131">
          <cell r="C131">
            <v>713</v>
          </cell>
          <cell r="D131" t="str">
            <v>-  CB 3P 1,00 AF 65 KA.  (PLUG-IN)</v>
          </cell>
          <cell r="E131">
            <v>120000</v>
          </cell>
          <cell r="F131">
            <v>600</v>
          </cell>
          <cell r="G131" t="str">
            <v>EA.</v>
          </cell>
        </row>
        <row r="132">
          <cell r="C132">
            <v>714</v>
          </cell>
          <cell r="D132" t="str">
            <v>-  CB 3P 1,600 AF 50 KA.  (PLUG-IN)</v>
          </cell>
          <cell r="E132">
            <v>160000</v>
          </cell>
          <cell r="F132">
            <v>600</v>
          </cell>
          <cell r="G132" t="str">
            <v>EA.</v>
          </cell>
        </row>
        <row r="133">
          <cell r="C133">
            <v>715</v>
          </cell>
          <cell r="D133" t="str">
            <v>-  CB 3P 1,600 AF 100 KA.  (PLUG-IN)</v>
          </cell>
          <cell r="E133">
            <v>170000</v>
          </cell>
          <cell r="F133">
            <v>600</v>
          </cell>
          <cell r="G133" t="str">
            <v>EA.</v>
          </cell>
        </row>
        <row r="134">
          <cell r="C134">
            <v>413</v>
          </cell>
          <cell r="D134" t="str">
            <v>SPACE</v>
          </cell>
          <cell r="E134">
            <v>4100</v>
          </cell>
          <cell r="F134">
            <v>200</v>
          </cell>
          <cell r="G134" t="str">
            <v>SET</v>
          </cell>
        </row>
        <row r="135">
          <cell r="C135">
            <v>8</v>
          </cell>
          <cell r="D135" t="str">
            <v>BUSDUCT</v>
          </cell>
          <cell r="E135">
            <v>2600</v>
          </cell>
          <cell r="F135">
            <v>200</v>
          </cell>
          <cell r="G135" t="str">
            <v>SET</v>
          </cell>
        </row>
        <row r="136">
          <cell r="C136">
            <v>415</v>
          </cell>
          <cell r="D136" t="str">
            <v>FEEDER BUSDUCT</v>
          </cell>
          <cell r="E136">
            <v>6350</v>
          </cell>
          <cell r="F136">
            <v>200</v>
          </cell>
          <cell r="G136" t="str">
            <v>SET</v>
          </cell>
        </row>
        <row r="137">
          <cell r="C137">
            <v>801</v>
          </cell>
          <cell r="D137" t="str">
            <v>-  AL. FEEDER BUSDUCT 800 A.</v>
          </cell>
          <cell r="E137">
            <v>10000</v>
          </cell>
          <cell r="F137">
            <v>500</v>
          </cell>
          <cell r="G137" t="str">
            <v>M.</v>
          </cell>
        </row>
        <row r="138">
          <cell r="C138">
            <v>802</v>
          </cell>
          <cell r="D138" t="str">
            <v>-  AL. FEEDER BUSDUCT 1,000 A.</v>
          </cell>
          <cell r="E138">
            <v>11000</v>
          </cell>
          <cell r="F138">
            <v>500</v>
          </cell>
          <cell r="G138" t="str">
            <v>M.</v>
          </cell>
        </row>
        <row r="139">
          <cell r="C139">
            <v>803</v>
          </cell>
          <cell r="D139" t="str">
            <v>-  AL. FEEDER BUSDUCT 1,200 A.</v>
          </cell>
          <cell r="E139">
            <v>12000</v>
          </cell>
          <cell r="F139">
            <v>700</v>
          </cell>
          <cell r="G139" t="str">
            <v>M.</v>
          </cell>
        </row>
        <row r="140">
          <cell r="C140">
            <v>804</v>
          </cell>
          <cell r="D140" t="str">
            <v>-  AL. FEEDER BUSDUCT 1,350 A.</v>
          </cell>
          <cell r="E140">
            <v>14000</v>
          </cell>
          <cell r="F140">
            <v>700</v>
          </cell>
          <cell r="G140" t="str">
            <v>M.</v>
          </cell>
        </row>
        <row r="141">
          <cell r="C141">
            <v>805</v>
          </cell>
          <cell r="D141" t="str">
            <v>-  AL. FEEDER BUSDUCT 1,600 A.</v>
          </cell>
          <cell r="E141">
            <v>15000</v>
          </cell>
          <cell r="F141">
            <v>800</v>
          </cell>
          <cell r="G141" t="str">
            <v>M.</v>
          </cell>
        </row>
        <row r="142">
          <cell r="C142">
            <v>806</v>
          </cell>
          <cell r="D142" t="str">
            <v>-  AL. FEEDER BUSDUCT 2,000 A.</v>
          </cell>
          <cell r="E142">
            <v>207000</v>
          </cell>
          <cell r="F142">
            <v>800</v>
          </cell>
          <cell r="G142" t="str">
            <v>M.</v>
          </cell>
        </row>
        <row r="143">
          <cell r="C143">
            <v>807</v>
          </cell>
          <cell r="D143" t="str">
            <v>-  AL. FEEDER BUSDUCT 2,500 A.</v>
          </cell>
          <cell r="E143">
            <v>23000</v>
          </cell>
          <cell r="F143">
            <v>1000</v>
          </cell>
          <cell r="G143" t="str">
            <v>M.</v>
          </cell>
        </row>
        <row r="144">
          <cell r="C144">
            <v>808</v>
          </cell>
          <cell r="D144" t="str">
            <v>-  AL. FEEDER BUSDUCT 3,000 A.</v>
          </cell>
          <cell r="E144">
            <v>27000</v>
          </cell>
          <cell r="F144">
            <v>1000</v>
          </cell>
          <cell r="G144" t="str">
            <v>M.</v>
          </cell>
        </row>
        <row r="145">
          <cell r="C145">
            <v>809</v>
          </cell>
          <cell r="D145" t="str">
            <v>-  AL. FEEDER BUSDUCT 4,000 A.</v>
          </cell>
          <cell r="E145">
            <v>34000</v>
          </cell>
          <cell r="F145">
            <v>1000</v>
          </cell>
          <cell r="G145" t="str">
            <v>M.</v>
          </cell>
        </row>
        <row r="146">
          <cell r="C146">
            <v>810</v>
          </cell>
          <cell r="D146" t="str">
            <v>-  CU. FEEDER BUSDUCT 800 A.</v>
          </cell>
          <cell r="E146">
            <v>14000</v>
          </cell>
          <cell r="F146">
            <v>500</v>
          </cell>
          <cell r="G146" t="str">
            <v>M.</v>
          </cell>
        </row>
        <row r="147">
          <cell r="C147">
            <v>811</v>
          </cell>
          <cell r="D147" t="str">
            <v>-  CU. FEEDER BUSDUCT 1,000 A.</v>
          </cell>
          <cell r="E147">
            <v>15000</v>
          </cell>
          <cell r="F147">
            <v>500</v>
          </cell>
          <cell r="G147" t="str">
            <v>M.</v>
          </cell>
        </row>
        <row r="148">
          <cell r="C148">
            <v>812</v>
          </cell>
          <cell r="D148" t="str">
            <v>-  CU. FEEDER BUSDUCT 1,200 A.</v>
          </cell>
          <cell r="E148">
            <v>18000</v>
          </cell>
          <cell r="F148">
            <v>700</v>
          </cell>
          <cell r="G148" t="str">
            <v>M.</v>
          </cell>
        </row>
        <row r="149">
          <cell r="C149">
            <v>813</v>
          </cell>
          <cell r="D149" t="str">
            <v>-  CU. FEEDER BUSDUCT 1,350 A.</v>
          </cell>
          <cell r="E149">
            <v>19000</v>
          </cell>
          <cell r="F149">
            <v>700</v>
          </cell>
          <cell r="G149" t="str">
            <v>M.</v>
          </cell>
        </row>
        <row r="150">
          <cell r="C150">
            <v>814</v>
          </cell>
          <cell r="D150" t="str">
            <v>-  CU. FEEDER BUSDUCT 1,600 A.</v>
          </cell>
          <cell r="E150">
            <v>21000</v>
          </cell>
          <cell r="F150">
            <v>800</v>
          </cell>
          <cell r="G150" t="str">
            <v>M.</v>
          </cell>
        </row>
        <row r="151">
          <cell r="C151">
            <v>815</v>
          </cell>
          <cell r="D151" t="str">
            <v>-  CU. FEEDER BUSDUCT 2,000 A.</v>
          </cell>
          <cell r="E151">
            <v>24000</v>
          </cell>
          <cell r="F151">
            <v>800</v>
          </cell>
          <cell r="G151" t="str">
            <v>M.</v>
          </cell>
        </row>
        <row r="152">
          <cell r="C152">
            <v>816</v>
          </cell>
          <cell r="D152" t="str">
            <v>-  CU. FEEDER BUSDUCT 2,500 A.</v>
          </cell>
          <cell r="E152">
            <v>34000</v>
          </cell>
          <cell r="F152">
            <v>1000</v>
          </cell>
          <cell r="G152" t="str">
            <v>M.</v>
          </cell>
        </row>
        <row r="153">
          <cell r="C153">
            <v>817</v>
          </cell>
          <cell r="D153" t="str">
            <v>-  CU. FEEDER BUSDUCT 3,000 A.</v>
          </cell>
          <cell r="E153">
            <v>40000</v>
          </cell>
          <cell r="F153">
            <v>1000</v>
          </cell>
          <cell r="G153" t="str">
            <v>M.</v>
          </cell>
        </row>
        <row r="154">
          <cell r="C154">
            <v>818</v>
          </cell>
          <cell r="D154" t="str">
            <v>-  CU. FEEDER BUSDUCT 4,000 A.</v>
          </cell>
          <cell r="E154">
            <v>50000</v>
          </cell>
          <cell r="F154">
            <v>1000</v>
          </cell>
          <cell r="G154" t="str">
            <v>M.</v>
          </cell>
        </row>
        <row r="155">
          <cell r="C155">
            <v>819</v>
          </cell>
          <cell r="D155" t="str">
            <v>-  CU. FEEDER BUSDUCT 5,000 A.</v>
          </cell>
          <cell r="E155">
            <v>60000</v>
          </cell>
          <cell r="F155">
            <v>1000</v>
          </cell>
          <cell r="G155" t="str">
            <v>M.</v>
          </cell>
        </row>
        <row r="156">
          <cell r="C156">
            <v>444</v>
          </cell>
          <cell r="D156" t="str">
            <v>SPACE</v>
          </cell>
          <cell r="E156">
            <v>0</v>
          </cell>
          <cell r="F156">
            <v>250</v>
          </cell>
          <cell r="G156" t="str">
            <v>SET</v>
          </cell>
        </row>
        <row r="157">
          <cell r="C157">
            <v>445</v>
          </cell>
          <cell r="D157" t="str">
            <v>PLUG-IN BUSDUCT</v>
          </cell>
          <cell r="E157">
            <v>0</v>
          </cell>
          <cell r="F157">
            <v>250</v>
          </cell>
          <cell r="G157" t="str">
            <v>SET</v>
          </cell>
        </row>
        <row r="158">
          <cell r="C158">
            <v>821</v>
          </cell>
          <cell r="D158" t="str">
            <v>-  AL. PLUG-IN BUSDUCT 225 A.</v>
          </cell>
          <cell r="E158">
            <v>8000</v>
          </cell>
          <cell r="F158">
            <v>500</v>
          </cell>
          <cell r="G158" t="str">
            <v>M.</v>
          </cell>
        </row>
        <row r="159">
          <cell r="C159">
            <v>822</v>
          </cell>
          <cell r="D159" t="str">
            <v>-  AL. PLUG-IN BUSDUCT 400 A.</v>
          </cell>
          <cell r="E159">
            <v>8800</v>
          </cell>
          <cell r="F159">
            <v>500</v>
          </cell>
          <cell r="G159" t="str">
            <v>M.</v>
          </cell>
        </row>
        <row r="160">
          <cell r="C160">
            <v>823</v>
          </cell>
          <cell r="D160" t="str">
            <v>-  AL. PLUG-IN BUSDUCT 600 A.</v>
          </cell>
          <cell r="E160">
            <v>10000</v>
          </cell>
          <cell r="F160">
            <v>500</v>
          </cell>
          <cell r="G160" t="str">
            <v>M.</v>
          </cell>
        </row>
        <row r="161">
          <cell r="C161">
            <v>824</v>
          </cell>
          <cell r="D161" t="str">
            <v>-  AL. PLUG-IN BUSDUCT 800 A.</v>
          </cell>
          <cell r="E161">
            <v>14000</v>
          </cell>
          <cell r="F161">
            <v>500</v>
          </cell>
          <cell r="G161" t="str">
            <v>M.</v>
          </cell>
        </row>
        <row r="162">
          <cell r="C162">
            <v>825</v>
          </cell>
          <cell r="D162" t="str">
            <v>-  AL. PLUG-IN BUSDUCT 1,000 A.</v>
          </cell>
          <cell r="E162">
            <v>14800</v>
          </cell>
          <cell r="F162">
            <v>500</v>
          </cell>
          <cell r="G162" t="str">
            <v>M.</v>
          </cell>
        </row>
        <row r="163">
          <cell r="C163">
            <v>826</v>
          </cell>
          <cell r="D163" t="str">
            <v>-  AL. PLUG-IN BUSDUCT 1,200 A.</v>
          </cell>
          <cell r="E163">
            <v>15500</v>
          </cell>
          <cell r="F163">
            <v>700</v>
          </cell>
          <cell r="G163" t="str">
            <v>M.</v>
          </cell>
        </row>
        <row r="164">
          <cell r="C164">
            <v>827</v>
          </cell>
          <cell r="D164" t="str">
            <v>-  AL. PLUG-IN BUSDUCT 1,350 A.</v>
          </cell>
          <cell r="E164">
            <v>17000</v>
          </cell>
          <cell r="F164">
            <v>700</v>
          </cell>
          <cell r="G164" t="str">
            <v>M.</v>
          </cell>
        </row>
        <row r="165">
          <cell r="C165">
            <v>828</v>
          </cell>
          <cell r="D165" t="str">
            <v>-  AL. PLUG-IN BUSDUCT 1,600 A.</v>
          </cell>
          <cell r="E165">
            <v>18000</v>
          </cell>
          <cell r="F165">
            <v>800</v>
          </cell>
          <cell r="G165" t="str">
            <v>M.</v>
          </cell>
        </row>
        <row r="166">
          <cell r="C166">
            <v>829</v>
          </cell>
          <cell r="D166" t="str">
            <v>-  AL. PLUG-IN BUSDUCT 2,000 A.</v>
          </cell>
          <cell r="E166">
            <v>28000</v>
          </cell>
          <cell r="F166">
            <v>800</v>
          </cell>
          <cell r="G166" t="str">
            <v>M.</v>
          </cell>
        </row>
        <row r="167">
          <cell r="C167">
            <v>830</v>
          </cell>
          <cell r="D167" t="str">
            <v>-  AL. PLUG-IN BUSDUCT 2,500 A.</v>
          </cell>
          <cell r="E167">
            <v>30000</v>
          </cell>
          <cell r="F167">
            <v>1000</v>
          </cell>
          <cell r="G167" t="str">
            <v>M.</v>
          </cell>
        </row>
        <row r="168">
          <cell r="C168">
            <v>831</v>
          </cell>
          <cell r="D168" t="str">
            <v>-  AL. PLUG-IN BUSDUCT 3,000 A.</v>
          </cell>
          <cell r="E168">
            <v>37000</v>
          </cell>
          <cell r="F168">
            <v>1000</v>
          </cell>
          <cell r="G168" t="str">
            <v>M.</v>
          </cell>
        </row>
        <row r="169">
          <cell r="C169">
            <v>832</v>
          </cell>
          <cell r="D169" t="str">
            <v>-  AL. PLUG-IN BUSDUCT 4,000 A.</v>
          </cell>
          <cell r="E169">
            <v>44000</v>
          </cell>
          <cell r="F169">
            <v>1000</v>
          </cell>
          <cell r="G169" t="str">
            <v>M.</v>
          </cell>
        </row>
        <row r="170">
          <cell r="C170">
            <v>833</v>
          </cell>
          <cell r="D170" t="str">
            <v>-  CU. PLUG-IN BUSDUCT 225 A.</v>
          </cell>
          <cell r="E170">
            <v>10000</v>
          </cell>
          <cell r="F170">
            <v>500</v>
          </cell>
          <cell r="G170" t="str">
            <v>M.</v>
          </cell>
        </row>
        <row r="171">
          <cell r="C171">
            <v>834</v>
          </cell>
          <cell r="D171" t="str">
            <v>-  CU PLUG-IN BUSDUCT 400 A.</v>
          </cell>
          <cell r="E171">
            <v>11000</v>
          </cell>
          <cell r="F171">
            <v>500</v>
          </cell>
          <cell r="G171" t="str">
            <v>M.</v>
          </cell>
        </row>
        <row r="172">
          <cell r="C172">
            <v>835</v>
          </cell>
          <cell r="D172" t="str">
            <v>-  CU. PLUG-IN BUSDUCT 600 A.</v>
          </cell>
          <cell r="E172">
            <v>12000</v>
          </cell>
          <cell r="F172">
            <v>500</v>
          </cell>
          <cell r="G172" t="str">
            <v>M.</v>
          </cell>
        </row>
        <row r="173">
          <cell r="C173">
            <v>836</v>
          </cell>
          <cell r="D173" t="str">
            <v>-  CU. PLUG-IN BUSDUCT 800 A.</v>
          </cell>
          <cell r="E173">
            <v>18000</v>
          </cell>
          <cell r="F173">
            <v>500</v>
          </cell>
          <cell r="G173" t="str">
            <v>M.</v>
          </cell>
        </row>
        <row r="174">
          <cell r="C174">
            <v>837</v>
          </cell>
          <cell r="D174" t="str">
            <v>-  CU. PLUG-IN BUSDUCT 1,000 A.</v>
          </cell>
          <cell r="E174">
            <v>19300</v>
          </cell>
          <cell r="F174">
            <v>500</v>
          </cell>
          <cell r="G174" t="str">
            <v>M.</v>
          </cell>
        </row>
        <row r="175">
          <cell r="C175">
            <v>838</v>
          </cell>
          <cell r="D175" t="str">
            <v>-  CU. PLUG-IN BUSDUCT 1,200 A.</v>
          </cell>
          <cell r="E175">
            <v>22000</v>
          </cell>
          <cell r="F175">
            <v>700</v>
          </cell>
          <cell r="G175" t="str">
            <v>M.</v>
          </cell>
        </row>
        <row r="176">
          <cell r="C176">
            <v>839</v>
          </cell>
          <cell r="D176" t="str">
            <v>-  CU. PLUG-IN BUSDUCT 1,350 A.</v>
          </cell>
          <cell r="E176">
            <v>23000</v>
          </cell>
          <cell r="F176">
            <v>700</v>
          </cell>
          <cell r="G176" t="str">
            <v>M.</v>
          </cell>
        </row>
        <row r="177">
          <cell r="C177">
            <v>840</v>
          </cell>
          <cell r="D177" t="str">
            <v>-  CU. PLUG-IN BUSDUCT 1,600 A.</v>
          </cell>
          <cell r="E177">
            <v>25000</v>
          </cell>
          <cell r="F177">
            <v>800</v>
          </cell>
          <cell r="G177" t="str">
            <v>M.</v>
          </cell>
        </row>
        <row r="178">
          <cell r="C178">
            <v>841</v>
          </cell>
          <cell r="D178" t="str">
            <v>-  CU. PLUG-IN BUSDUCT 2,000 A.</v>
          </cell>
          <cell r="E178">
            <v>28000</v>
          </cell>
          <cell r="F178">
            <v>800</v>
          </cell>
          <cell r="G178" t="str">
            <v>M.</v>
          </cell>
        </row>
        <row r="179">
          <cell r="C179">
            <v>842</v>
          </cell>
          <cell r="D179" t="str">
            <v>-  CU. PLUG-IN BUSDUCT 2,500 A.</v>
          </cell>
          <cell r="E179">
            <v>44000</v>
          </cell>
          <cell r="F179">
            <v>1000</v>
          </cell>
          <cell r="G179" t="str">
            <v>M.</v>
          </cell>
        </row>
        <row r="180">
          <cell r="C180">
            <v>843</v>
          </cell>
          <cell r="D180" t="str">
            <v>-  CU. PLUG-IN BUSDUCT 3,000 A.</v>
          </cell>
          <cell r="E180">
            <v>50000</v>
          </cell>
          <cell r="F180">
            <v>1000</v>
          </cell>
          <cell r="G180" t="str">
            <v>M.</v>
          </cell>
        </row>
        <row r="181">
          <cell r="C181">
            <v>844</v>
          </cell>
          <cell r="D181" t="str">
            <v>-  CU. PLUG-IN BUSDUCT 4,000 A.</v>
          </cell>
          <cell r="E181">
            <v>67000</v>
          </cell>
          <cell r="F181">
            <v>1000</v>
          </cell>
          <cell r="G181" t="str">
            <v>M.</v>
          </cell>
        </row>
        <row r="182">
          <cell r="C182">
            <v>845</v>
          </cell>
          <cell r="D182" t="str">
            <v>-  CU. PLUG-IN BUSDUCT 5,000 A.</v>
          </cell>
          <cell r="E182">
            <v>74000</v>
          </cell>
          <cell r="F182">
            <v>1000</v>
          </cell>
          <cell r="G182" t="str">
            <v>M.</v>
          </cell>
        </row>
        <row r="183">
          <cell r="C183">
            <v>527</v>
          </cell>
          <cell r="D183" t="str">
            <v>SPACE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RISER BUSDUCT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851</v>
          </cell>
          <cell r="D185" t="str">
            <v>-  AL. RISER BUSDUCT 800 A.</v>
          </cell>
          <cell r="E185">
            <v>13000</v>
          </cell>
          <cell r="F185">
            <v>500</v>
          </cell>
          <cell r="G185" t="str">
            <v>M.</v>
          </cell>
        </row>
        <row r="186">
          <cell r="C186">
            <v>852</v>
          </cell>
          <cell r="D186" t="str">
            <v>-  AL. RISER BUSDUCT 1,000 A.</v>
          </cell>
          <cell r="E186">
            <v>14000</v>
          </cell>
          <cell r="F186">
            <v>500</v>
          </cell>
          <cell r="G186" t="str">
            <v>M.</v>
          </cell>
        </row>
        <row r="187">
          <cell r="C187">
            <v>853</v>
          </cell>
          <cell r="D187" t="str">
            <v>-  AL. RISER BUSDUCT 1,200 A.</v>
          </cell>
          <cell r="E187">
            <v>14000</v>
          </cell>
          <cell r="F187">
            <v>700</v>
          </cell>
          <cell r="G187" t="str">
            <v>M.</v>
          </cell>
        </row>
        <row r="188">
          <cell r="C188">
            <v>854</v>
          </cell>
          <cell r="D188" t="str">
            <v>-  AL. RISER BUSDUCT 1,350 A.</v>
          </cell>
          <cell r="E188">
            <v>15000</v>
          </cell>
          <cell r="F188">
            <v>700</v>
          </cell>
          <cell r="G188" t="str">
            <v>M.</v>
          </cell>
        </row>
        <row r="189">
          <cell r="C189">
            <v>855</v>
          </cell>
          <cell r="D189" t="str">
            <v>-  AL. RISER BUSDUCT 1,600 A.</v>
          </cell>
          <cell r="E189">
            <v>16000</v>
          </cell>
          <cell r="F189">
            <v>800</v>
          </cell>
          <cell r="G189" t="str">
            <v>M.</v>
          </cell>
        </row>
        <row r="190">
          <cell r="C190">
            <v>856</v>
          </cell>
          <cell r="D190" t="str">
            <v>-  AL. RISER BUSDUCT 2,000 A.</v>
          </cell>
          <cell r="E190">
            <v>25000</v>
          </cell>
          <cell r="F190">
            <v>800</v>
          </cell>
          <cell r="G190" t="str">
            <v>M.</v>
          </cell>
        </row>
        <row r="191">
          <cell r="C191">
            <v>857</v>
          </cell>
          <cell r="D191" t="str">
            <v>-  AL. RISER BUSDUCT 2,500 A.</v>
          </cell>
          <cell r="E191">
            <v>26600</v>
          </cell>
          <cell r="F191">
            <v>1000</v>
          </cell>
          <cell r="G191" t="str">
            <v>M.</v>
          </cell>
        </row>
        <row r="192">
          <cell r="C192">
            <v>858</v>
          </cell>
          <cell r="D192" t="str">
            <v>-  AL. RISER BUSDUCT 3,000 A.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-  AL. RISER BUSDUCT 4,000 A.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860</v>
          </cell>
          <cell r="D194" t="str">
            <v>-  CU. RISER BUSDUCT 800 A.</v>
          </cell>
          <cell r="E194">
            <v>16000</v>
          </cell>
          <cell r="F194">
            <v>500</v>
          </cell>
          <cell r="G194" t="str">
            <v>M.</v>
          </cell>
        </row>
        <row r="195">
          <cell r="C195">
            <v>861</v>
          </cell>
          <cell r="D195" t="str">
            <v>-  CU. RISER BUSDUCT 1,000 A.</v>
          </cell>
          <cell r="E195">
            <v>17300</v>
          </cell>
          <cell r="F195">
            <v>500</v>
          </cell>
          <cell r="G195" t="str">
            <v>M.</v>
          </cell>
        </row>
        <row r="196">
          <cell r="C196">
            <v>862</v>
          </cell>
          <cell r="D196" t="str">
            <v>-  CU. RISER BUSDUCT 1,200 A.</v>
          </cell>
          <cell r="E196">
            <v>19300</v>
          </cell>
          <cell r="F196">
            <v>700</v>
          </cell>
          <cell r="G196" t="str">
            <v>M.</v>
          </cell>
        </row>
        <row r="197">
          <cell r="C197">
            <v>863</v>
          </cell>
          <cell r="D197" t="str">
            <v>-  CU. RISER BUSDUCT 1,350 A.</v>
          </cell>
          <cell r="E197">
            <v>21000</v>
          </cell>
          <cell r="F197">
            <v>700</v>
          </cell>
          <cell r="G197" t="str">
            <v>M.</v>
          </cell>
        </row>
        <row r="198">
          <cell r="C198">
            <v>864</v>
          </cell>
          <cell r="D198" t="str">
            <v>-  CU. RISER BUSDUCT 1,600 A.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-  CU. RISER BUSDUCT 2,000 A.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866</v>
          </cell>
          <cell r="D200" t="str">
            <v>-  CU. RISER BUSDUCT 2,500 A.</v>
          </cell>
          <cell r="E200">
            <v>40000</v>
          </cell>
          <cell r="F200">
            <v>1000</v>
          </cell>
          <cell r="G200" t="str">
            <v>M.</v>
          </cell>
        </row>
        <row r="201">
          <cell r="C201">
            <v>867</v>
          </cell>
          <cell r="D201" t="str">
            <v>-  CU. RISER BUSDUCT 3,000 A.</v>
          </cell>
          <cell r="E201">
            <v>46600</v>
          </cell>
          <cell r="F201">
            <v>1000</v>
          </cell>
          <cell r="G201" t="str">
            <v>M.</v>
          </cell>
        </row>
        <row r="202">
          <cell r="C202">
            <v>868</v>
          </cell>
          <cell r="D202" t="str">
            <v>-  CU. RISER BUSDUCT 4,000 A.</v>
          </cell>
          <cell r="E202">
            <v>60000</v>
          </cell>
          <cell r="F202">
            <v>1000</v>
          </cell>
          <cell r="G202" t="str">
            <v>M.</v>
          </cell>
        </row>
        <row r="203">
          <cell r="C203">
            <v>869</v>
          </cell>
          <cell r="D203" t="str">
            <v>-  CU. RISER BUSDUCT 5,000 A.</v>
          </cell>
          <cell r="E203">
            <v>67000</v>
          </cell>
          <cell r="F203">
            <v>1000</v>
          </cell>
          <cell r="G203" t="str">
            <v>M.</v>
          </cell>
        </row>
        <row r="204">
          <cell r="C204">
            <v>298</v>
          </cell>
          <cell r="D204" t="str">
            <v>SPACE</v>
          </cell>
          <cell r="E204">
            <v>55</v>
          </cell>
          <cell r="F204">
            <v>8</v>
          </cell>
          <cell r="G204" t="str">
            <v>M.</v>
          </cell>
        </row>
        <row r="205">
          <cell r="C205">
            <v>299</v>
          </cell>
          <cell r="D205" t="str">
            <v>OUTDOOR BUSDUCT</v>
          </cell>
          <cell r="E205">
            <v>74</v>
          </cell>
          <cell r="F205">
            <v>11</v>
          </cell>
          <cell r="G205" t="str">
            <v>M.</v>
          </cell>
        </row>
        <row r="206">
          <cell r="C206">
            <v>871</v>
          </cell>
          <cell r="D206" t="str">
            <v>-  AL. BUSDUCT (OUTDOOR) 800 A.</v>
          </cell>
          <cell r="E206">
            <v>18000</v>
          </cell>
          <cell r="F206">
            <v>500</v>
          </cell>
          <cell r="G206" t="str">
            <v>M.</v>
          </cell>
        </row>
        <row r="207">
          <cell r="C207">
            <v>872</v>
          </cell>
          <cell r="D207" t="str">
            <v>-  AL. BUSDUCT (OUTDOOR) 1,000 A.</v>
          </cell>
          <cell r="E207">
            <v>20000</v>
          </cell>
          <cell r="F207">
            <v>500</v>
          </cell>
          <cell r="G207" t="str">
            <v>M.</v>
          </cell>
        </row>
        <row r="208">
          <cell r="C208">
            <v>873</v>
          </cell>
          <cell r="D208" t="str">
            <v>-  AL. BUSDUCT (OUTDOOR) 1,200 A.</v>
          </cell>
          <cell r="E208">
            <v>21000</v>
          </cell>
          <cell r="F208">
            <v>700</v>
          </cell>
          <cell r="G208" t="str">
            <v>M.</v>
          </cell>
        </row>
        <row r="209">
          <cell r="C209">
            <v>874</v>
          </cell>
          <cell r="D209" t="str">
            <v>-  AL. BUSDUCT (OUTDOOR) 1,350 A.</v>
          </cell>
          <cell r="E209">
            <v>22000</v>
          </cell>
          <cell r="F209">
            <v>700</v>
          </cell>
          <cell r="G209" t="str">
            <v>M.</v>
          </cell>
        </row>
        <row r="210">
          <cell r="C210">
            <v>875</v>
          </cell>
          <cell r="D210" t="str">
            <v>-  AL. BUSDUCT (OUTDOOR) 1,600 A.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876</v>
          </cell>
          <cell r="D211" t="str">
            <v>-  AL. BUSDUCT (OUTDOOR) 2,000 A.</v>
          </cell>
          <cell r="E211">
            <v>30000</v>
          </cell>
          <cell r="F211">
            <v>800</v>
          </cell>
          <cell r="G211" t="str">
            <v>M.</v>
          </cell>
        </row>
        <row r="212">
          <cell r="C212">
            <v>877</v>
          </cell>
          <cell r="D212" t="str">
            <v>-  AL. BUSDUCT (OUTDOOR) 2,500 A.</v>
          </cell>
          <cell r="E212">
            <v>33000</v>
          </cell>
          <cell r="F212">
            <v>1000</v>
          </cell>
          <cell r="G212" t="str">
            <v>M.</v>
          </cell>
        </row>
        <row r="213">
          <cell r="C213">
            <v>878</v>
          </cell>
          <cell r="D213" t="str">
            <v>-  AL. BUSDUCT (OUTDOOR) 3,000 A.</v>
          </cell>
          <cell r="E213">
            <v>40000</v>
          </cell>
          <cell r="F213">
            <v>1000</v>
          </cell>
          <cell r="G213" t="str">
            <v>M.</v>
          </cell>
        </row>
        <row r="214">
          <cell r="C214">
            <v>879</v>
          </cell>
          <cell r="D214" t="str">
            <v>-  AL. BUSDUCT (OUTDOOR) 4,000 A.</v>
          </cell>
          <cell r="E214">
            <v>53000</v>
          </cell>
          <cell r="F214">
            <v>1000</v>
          </cell>
          <cell r="G214" t="str">
            <v>M.</v>
          </cell>
        </row>
        <row r="215">
          <cell r="C215">
            <v>880</v>
          </cell>
          <cell r="D215" t="str">
            <v>-  CU BUSDUCT (OUTDOOR) 800 A.</v>
          </cell>
          <cell r="E215">
            <v>22000</v>
          </cell>
          <cell r="F215">
            <v>500</v>
          </cell>
          <cell r="G215" t="str">
            <v>M.</v>
          </cell>
        </row>
        <row r="216">
          <cell r="C216">
            <v>881</v>
          </cell>
          <cell r="D216" t="str">
            <v>-  CU. BUSDUCT (OUTDOOR) 1,000 A.</v>
          </cell>
          <cell r="E216">
            <v>24000</v>
          </cell>
          <cell r="F216">
            <v>500</v>
          </cell>
          <cell r="G216" t="str">
            <v>M.</v>
          </cell>
        </row>
        <row r="217">
          <cell r="C217">
            <v>882</v>
          </cell>
          <cell r="D217" t="str">
            <v>-  CU. BUSDUCT (OUTDOOR) 1,200 A.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-  CU. BUSDUCT (OUTDOOR) 1,350 A.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884</v>
          </cell>
          <cell r="D219" t="str">
            <v>-  CU. BUSDUCT (OUTDOOR) 1,600 A.</v>
          </cell>
          <cell r="E219">
            <v>32000</v>
          </cell>
          <cell r="F219">
            <v>800</v>
          </cell>
          <cell r="G219" t="str">
            <v>M.</v>
          </cell>
        </row>
        <row r="220">
          <cell r="C220">
            <v>885</v>
          </cell>
          <cell r="D220" t="str">
            <v>-  CU. BUSDUCT (OUTDOOR) 2,000 A.</v>
          </cell>
          <cell r="E220">
            <v>33000</v>
          </cell>
          <cell r="F220">
            <v>800</v>
          </cell>
          <cell r="G220" t="str">
            <v>M.</v>
          </cell>
        </row>
        <row r="221">
          <cell r="C221">
            <v>886</v>
          </cell>
          <cell r="D221" t="str">
            <v>-  CU. BUSDUCT (OUTDOOR) 2,500 A.</v>
          </cell>
          <cell r="E221">
            <v>50000</v>
          </cell>
          <cell r="F221">
            <v>1000</v>
          </cell>
          <cell r="G221" t="str">
            <v>M.</v>
          </cell>
        </row>
        <row r="222">
          <cell r="C222">
            <v>887</v>
          </cell>
          <cell r="D222" t="str">
            <v>-  CU. BUSDUCT (OUTDOOR) 3,000 A.</v>
          </cell>
          <cell r="E222">
            <v>58000</v>
          </cell>
          <cell r="F222">
            <v>1000</v>
          </cell>
          <cell r="G222" t="str">
            <v>M.</v>
          </cell>
        </row>
        <row r="223">
          <cell r="C223">
            <v>888</v>
          </cell>
          <cell r="D223" t="str">
            <v>-  CU. BUSDUCT (OUTDOOR) 4,000 A.</v>
          </cell>
          <cell r="E223">
            <v>67000</v>
          </cell>
          <cell r="F223">
            <v>1000</v>
          </cell>
          <cell r="G223" t="str">
            <v>M.</v>
          </cell>
        </row>
        <row r="224">
          <cell r="C224">
            <v>889</v>
          </cell>
          <cell r="D224" t="str">
            <v>-  CU. BUSDUCT (OUTDOOR) 5,000 A.</v>
          </cell>
          <cell r="E224">
            <v>80000</v>
          </cell>
          <cell r="F224">
            <v>1000</v>
          </cell>
          <cell r="G224" t="str">
            <v>M.</v>
          </cell>
        </row>
        <row r="225">
          <cell r="C225">
            <v>324</v>
          </cell>
          <cell r="D225" t="str">
            <v>SPACE</v>
          </cell>
          <cell r="E225">
            <v>1258</v>
          </cell>
          <cell r="F225">
            <v>110</v>
          </cell>
          <cell r="G225" t="str">
            <v>M.</v>
          </cell>
        </row>
        <row r="226">
          <cell r="C226">
            <v>325</v>
          </cell>
          <cell r="D226" t="str">
            <v>-  3/C - 120 SQ.MM. 12/20(24) KVCV</v>
          </cell>
          <cell r="E226">
            <v>1613</v>
          </cell>
          <cell r="F226">
            <v>120</v>
          </cell>
          <cell r="G226" t="str">
            <v>M.</v>
          </cell>
        </row>
        <row r="227">
          <cell r="C227">
            <v>326</v>
          </cell>
          <cell r="D227" t="str">
            <v>-  3/C - 150 SQ.MM. 12/20(24) KVCV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327</v>
          </cell>
          <cell r="D228" t="str">
            <v>-  3/C - 185 SQ.MM. 12/20(24) KVCV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328</v>
          </cell>
          <cell r="D229" t="str">
            <v>-  3/C - 240 SQ.MM. 12/20(24) KVCV</v>
          </cell>
          <cell r="E229">
            <v>2566</v>
          </cell>
          <cell r="F229">
            <v>160</v>
          </cell>
          <cell r="G229" t="str">
            <v>M.</v>
          </cell>
        </row>
        <row r="230">
          <cell r="C230">
            <v>329</v>
          </cell>
          <cell r="D230" t="str">
            <v>-  3/C - 300 SQ.MM. 12/20(24) KVCV</v>
          </cell>
          <cell r="E230">
            <v>3084</v>
          </cell>
          <cell r="F230">
            <v>180</v>
          </cell>
          <cell r="G230" t="str">
            <v>M.</v>
          </cell>
        </row>
        <row r="231">
          <cell r="C231">
            <v>330</v>
          </cell>
          <cell r="D231" t="str">
            <v>-  3/C - 400 SQ.MM. 12/20(24) KVCV</v>
          </cell>
          <cell r="E231">
            <v>3712</v>
          </cell>
          <cell r="F231">
            <v>200</v>
          </cell>
          <cell r="G231" t="str">
            <v>M.</v>
          </cell>
        </row>
        <row r="232">
          <cell r="C232">
            <v>331</v>
          </cell>
          <cell r="D232" t="str">
            <v>-  1/C - 35 SQ.MM. 18/30(36) KVCV</v>
          </cell>
          <cell r="E232">
            <v>260</v>
          </cell>
          <cell r="F232">
            <v>60</v>
          </cell>
          <cell r="G232" t="str">
            <v>M.</v>
          </cell>
        </row>
        <row r="233">
          <cell r="C233">
            <v>332</v>
          </cell>
          <cell r="D233" t="str">
            <v>-  1/C - 50 SQ.MM. 18/30(36) KVCV</v>
          </cell>
          <cell r="E233">
            <v>281</v>
          </cell>
          <cell r="F233">
            <v>70</v>
          </cell>
          <cell r="G233" t="str">
            <v>M.</v>
          </cell>
        </row>
        <row r="234">
          <cell r="C234">
            <v>333</v>
          </cell>
          <cell r="D234" t="str">
            <v>-  1/C - 70 SQ.MM. 18/30(36) KVCV</v>
          </cell>
          <cell r="E234">
            <v>325</v>
          </cell>
          <cell r="F234">
            <v>75</v>
          </cell>
          <cell r="G234" t="str">
            <v>M.</v>
          </cell>
        </row>
        <row r="235">
          <cell r="C235">
            <v>334</v>
          </cell>
          <cell r="D235" t="str">
            <v>-  1/C - 95 SQ.MM. 18/30(36) KVCV</v>
          </cell>
          <cell r="E235">
            <v>396</v>
          </cell>
          <cell r="F235">
            <v>80</v>
          </cell>
          <cell r="G235" t="str">
            <v>M.</v>
          </cell>
        </row>
        <row r="236">
          <cell r="C236">
            <v>335</v>
          </cell>
          <cell r="D236" t="str">
            <v>-  1/C - 120 SQ.MM. 18/30(36) KVCV</v>
          </cell>
          <cell r="E236">
            <v>490</v>
          </cell>
          <cell r="F236">
            <v>85</v>
          </cell>
          <cell r="G236" t="str">
            <v>M.</v>
          </cell>
        </row>
        <row r="237">
          <cell r="C237">
            <v>336</v>
          </cell>
          <cell r="D237" t="str">
            <v>-  1/C - 150 SQ.MM. 18/30(36) KVCV</v>
          </cell>
          <cell r="E237">
            <v>560</v>
          </cell>
          <cell r="F237">
            <v>90</v>
          </cell>
          <cell r="G237" t="str">
            <v>M.</v>
          </cell>
        </row>
        <row r="238">
          <cell r="C238">
            <v>337</v>
          </cell>
          <cell r="D238" t="str">
            <v>-  1/C - 185 SQ.MM. 18/30(36) KVCV</v>
          </cell>
          <cell r="E238">
            <v>654</v>
          </cell>
          <cell r="F238">
            <v>100</v>
          </cell>
          <cell r="G238" t="str">
            <v>M.</v>
          </cell>
        </row>
        <row r="239">
          <cell r="C239">
            <v>338</v>
          </cell>
          <cell r="D239" t="str">
            <v>-  1/C - 240 SQ.MM. 18/30(36) KVCV</v>
          </cell>
          <cell r="E239">
            <v>802</v>
          </cell>
          <cell r="F239">
            <v>110</v>
          </cell>
          <cell r="G239" t="str">
            <v>M.</v>
          </cell>
        </row>
        <row r="240">
          <cell r="C240">
            <v>339</v>
          </cell>
          <cell r="D240" t="str">
            <v>-  1/C - 300 SQ.MM. 18/30(36) KVCV</v>
          </cell>
          <cell r="E240">
            <v>962</v>
          </cell>
          <cell r="F240">
            <v>130</v>
          </cell>
          <cell r="G240" t="str">
            <v>M.</v>
          </cell>
        </row>
        <row r="241">
          <cell r="C241">
            <v>340</v>
          </cell>
          <cell r="D241" t="str">
            <v>-  1/C - 400 SQ.MM. 18/30(36) KVCV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341</v>
          </cell>
          <cell r="D242" t="str">
            <v>-  3/C - 50 SQ.MM. 18/30(36) KVCV</v>
          </cell>
          <cell r="E242">
            <v>930</v>
          </cell>
          <cell r="F242">
            <v>100</v>
          </cell>
          <cell r="G242" t="str">
            <v>M.</v>
          </cell>
        </row>
        <row r="243">
          <cell r="C243">
            <v>342</v>
          </cell>
          <cell r="D243" t="str">
            <v>-  3/C - 70 SQ.MM. 18/30(36) KVCV</v>
          </cell>
          <cell r="E243">
            <v>1088</v>
          </cell>
          <cell r="F243">
            <v>110</v>
          </cell>
          <cell r="G243" t="str">
            <v>M.</v>
          </cell>
        </row>
        <row r="244">
          <cell r="C244">
            <v>343</v>
          </cell>
          <cell r="D244" t="str">
            <v>-  3/C - 95 SQ.MM. 18/30(36) KVCV</v>
          </cell>
          <cell r="E244">
            <v>1303</v>
          </cell>
          <cell r="F244">
            <v>130</v>
          </cell>
          <cell r="G244" t="str">
            <v>M.</v>
          </cell>
        </row>
        <row r="245">
          <cell r="C245">
            <v>344</v>
          </cell>
          <cell r="D245" t="str">
            <v>-  3/C - 120 SQ.MM. 18/30(36) KVCV</v>
          </cell>
          <cell r="E245">
            <v>1670</v>
          </cell>
          <cell r="F245">
            <v>150</v>
          </cell>
          <cell r="G245" t="str">
            <v>M.</v>
          </cell>
        </row>
        <row r="246">
          <cell r="C246">
            <v>345</v>
          </cell>
          <cell r="D246" t="str">
            <v>-  3/C - 150 SQ.MM. 18/30(36) KVCV</v>
          </cell>
          <cell r="E246">
            <v>1897</v>
          </cell>
          <cell r="F246">
            <v>170</v>
          </cell>
          <cell r="G246" t="str">
            <v>M.</v>
          </cell>
        </row>
        <row r="247">
          <cell r="C247">
            <v>346</v>
          </cell>
          <cell r="D247" t="str">
            <v>-  3/C - 185 SQ.MM. 18/30(36) KVCV</v>
          </cell>
          <cell r="E247">
            <v>2206</v>
          </cell>
          <cell r="F247">
            <v>180</v>
          </cell>
          <cell r="G247" t="str">
            <v>M.</v>
          </cell>
        </row>
        <row r="248">
          <cell r="C248">
            <v>347</v>
          </cell>
          <cell r="D248" t="str">
            <v>-  3/C - 240 SQ.MM. 18/30(36) KVCV</v>
          </cell>
          <cell r="E248">
            <v>2660</v>
          </cell>
          <cell r="F248">
            <v>200</v>
          </cell>
          <cell r="G248" t="str">
            <v>M.</v>
          </cell>
        </row>
        <row r="249">
          <cell r="C249">
            <v>348</v>
          </cell>
          <cell r="D249" t="str">
            <v>-  3/C - 300 SQ.MM. 18/30(36) KVCV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349</v>
          </cell>
          <cell r="D250" t="str">
            <v>-  3/C - 400 SQ.MM. 18/30(36) KVCV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SPACE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351</v>
          </cell>
          <cell r="D252" t="str">
            <v>-  1/C - 25 SQ.MM. 25 KV.XLPE</v>
          </cell>
          <cell r="E252">
            <v>0</v>
          </cell>
          <cell r="F252">
            <v>0</v>
          </cell>
          <cell r="G252" t="str">
            <v>M.</v>
          </cell>
        </row>
        <row r="253">
          <cell r="C253">
            <v>352</v>
          </cell>
          <cell r="D253" t="str">
            <v>-  1/C - 35 SQ.MM. 25 KV.XLPE</v>
          </cell>
          <cell r="E253">
            <v>305</v>
          </cell>
          <cell r="F253">
            <v>35</v>
          </cell>
          <cell r="G253" t="str">
            <v>M.</v>
          </cell>
        </row>
        <row r="254">
          <cell r="C254">
            <v>353</v>
          </cell>
          <cell r="D254" t="str">
            <v>-  1/C - 50 SQ.MM. 25 KV.XLPE</v>
          </cell>
          <cell r="E254">
            <v>345</v>
          </cell>
          <cell r="F254">
            <v>40</v>
          </cell>
          <cell r="G254" t="str">
            <v>M.</v>
          </cell>
        </row>
        <row r="255">
          <cell r="C255">
            <v>354</v>
          </cell>
          <cell r="D255" t="str">
            <v>-  1/C - 70 SQ.MM. 25 KV.XLPE</v>
          </cell>
          <cell r="E255">
            <v>415</v>
          </cell>
          <cell r="F255">
            <v>60</v>
          </cell>
          <cell r="G255" t="str">
            <v>M.</v>
          </cell>
        </row>
        <row r="256">
          <cell r="C256">
            <v>355</v>
          </cell>
          <cell r="D256" t="str">
            <v>-  1/C - 95 SQ.MM. 25 KV.XLPE</v>
          </cell>
          <cell r="E256">
            <v>515</v>
          </cell>
          <cell r="F256">
            <v>70</v>
          </cell>
          <cell r="G256" t="str">
            <v>M.</v>
          </cell>
        </row>
        <row r="257">
          <cell r="C257">
            <v>356</v>
          </cell>
          <cell r="D257" t="str">
            <v>-  1/C - 120 SQ.MM. 25 KV.XLPE</v>
          </cell>
          <cell r="E257">
            <v>605</v>
          </cell>
          <cell r="F257">
            <v>75</v>
          </cell>
          <cell r="G257" t="str">
            <v>M.</v>
          </cell>
        </row>
        <row r="258">
          <cell r="C258">
            <v>357</v>
          </cell>
          <cell r="D258" t="str">
            <v>-  1/C - 150 SQ.MM. 25 KV.XLPE</v>
          </cell>
          <cell r="E258">
            <v>705</v>
          </cell>
          <cell r="F258">
            <v>80</v>
          </cell>
          <cell r="G258" t="str">
            <v>M.</v>
          </cell>
        </row>
        <row r="259">
          <cell r="C259">
            <v>358</v>
          </cell>
          <cell r="D259" t="str">
            <v>-  1/C - 185 SQ.MM. 25 KV.XLPE</v>
          </cell>
          <cell r="E259">
            <v>835</v>
          </cell>
          <cell r="F259">
            <v>85</v>
          </cell>
          <cell r="G259" t="str">
            <v>M.</v>
          </cell>
        </row>
        <row r="260">
          <cell r="C260">
            <v>359</v>
          </cell>
          <cell r="D260" t="str">
            <v>-  1/C - 240 SQ.MM. 25 KV.XLPE</v>
          </cell>
          <cell r="E260">
            <v>995</v>
          </cell>
          <cell r="F260">
            <v>90</v>
          </cell>
          <cell r="G260" t="str">
            <v>M.</v>
          </cell>
        </row>
        <row r="261">
          <cell r="C261">
            <v>360</v>
          </cell>
          <cell r="D261" t="str">
            <v>-  1/C - 35 SQ.MM. 35 KV.XLPE</v>
          </cell>
          <cell r="E261">
            <v>0</v>
          </cell>
          <cell r="F261">
            <v>60</v>
          </cell>
          <cell r="G261" t="str">
            <v>M.</v>
          </cell>
        </row>
        <row r="262">
          <cell r="C262">
            <v>361</v>
          </cell>
          <cell r="D262" t="str">
            <v>-  1/C - 50 SQ.MM. 35 KV.XLPE</v>
          </cell>
          <cell r="E262">
            <v>0</v>
          </cell>
          <cell r="F262">
            <v>70</v>
          </cell>
          <cell r="G262" t="str">
            <v>M.</v>
          </cell>
        </row>
        <row r="263">
          <cell r="C263">
            <v>362</v>
          </cell>
          <cell r="D263" t="str">
            <v>-  1/C - 70 SQ.MM. 35 KV.XLPE</v>
          </cell>
          <cell r="E263">
            <v>0</v>
          </cell>
          <cell r="F263">
            <v>75</v>
          </cell>
          <cell r="G263" t="str">
            <v>M.</v>
          </cell>
        </row>
        <row r="264">
          <cell r="C264">
            <v>363</v>
          </cell>
          <cell r="D264" t="str">
            <v>-  1/C - 95 SQ.MM. 35 KV.XLPE</v>
          </cell>
          <cell r="E264">
            <v>0</v>
          </cell>
          <cell r="F264">
            <v>80</v>
          </cell>
          <cell r="G264" t="str">
            <v>M.</v>
          </cell>
        </row>
        <row r="265">
          <cell r="C265">
            <v>364</v>
          </cell>
          <cell r="D265" t="str">
            <v>-  1/C - 120 SQ.MM. 35 KV.XLPE</v>
          </cell>
          <cell r="E265">
            <v>0</v>
          </cell>
          <cell r="F265">
            <v>85</v>
          </cell>
          <cell r="G265" t="str">
            <v>M.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/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3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LIGHTING FIXTURE ,SWITCH, RECEPTACLE,</v>
          </cell>
        </row>
        <row r="6">
          <cell r="C6">
            <v>1</v>
          </cell>
          <cell r="D6" t="str">
            <v>DIMMER AND ACCESSORIES</v>
          </cell>
        </row>
        <row r="7">
          <cell r="C7">
            <v>1</v>
          </cell>
          <cell r="D7" t="str">
            <v>SWITCH AND RECEPTACLE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1-WAY SWITCH, PLASTIC  PLATE</v>
          </cell>
          <cell r="E8">
            <v>75</v>
          </cell>
          <cell r="F8">
            <v>50</v>
          </cell>
          <cell r="G8" t="str">
            <v>SET</v>
          </cell>
        </row>
        <row r="9">
          <cell r="C9">
            <v>102</v>
          </cell>
          <cell r="D9" t="str">
            <v>-  1-WAY SWITCH, ALUMINIUM  PLATE</v>
          </cell>
          <cell r="E9">
            <v>105</v>
          </cell>
          <cell r="F9">
            <v>50</v>
          </cell>
          <cell r="G9" t="str">
            <v>SET</v>
          </cell>
        </row>
        <row r="10">
          <cell r="C10">
            <v>103</v>
          </cell>
          <cell r="D10" t="str">
            <v>-  1-WAY SWITCH, STAINLES  PLATE</v>
          </cell>
          <cell r="E10">
            <v>120</v>
          </cell>
          <cell r="F10">
            <v>50</v>
          </cell>
          <cell r="G10" t="str">
            <v>SET</v>
          </cell>
        </row>
        <row r="11">
          <cell r="C11">
            <v>104</v>
          </cell>
          <cell r="D11" t="str">
            <v>-  1-WAY SWITCH, PLASTIC PLATE, LIVING STYLE</v>
          </cell>
          <cell r="E11">
            <v>360</v>
          </cell>
          <cell r="F11">
            <v>50</v>
          </cell>
          <cell r="G11" t="str">
            <v>SET</v>
          </cell>
        </row>
        <row r="12">
          <cell r="C12">
            <v>105</v>
          </cell>
          <cell r="D12" t="str">
            <v>-  1-WAY SWITCH, CHROMIUM PLATE, LIVING STYLE</v>
          </cell>
          <cell r="E12">
            <v>620</v>
          </cell>
          <cell r="F12">
            <v>50</v>
          </cell>
          <cell r="G12" t="str">
            <v>SET</v>
          </cell>
        </row>
        <row r="13">
          <cell r="C13">
            <v>106</v>
          </cell>
          <cell r="D13" t="str">
            <v>-  2-WAY SWITCH, PLASTIC PLATE</v>
          </cell>
          <cell r="E13">
            <v>90</v>
          </cell>
          <cell r="F13">
            <v>70</v>
          </cell>
          <cell r="G13" t="str">
            <v>SET</v>
          </cell>
        </row>
        <row r="14">
          <cell r="C14">
            <v>107</v>
          </cell>
          <cell r="D14" t="str">
            <v>-  2-WAY SWITCH, ALUMINIUM PLATE</v>
          </cell>
          <cell r="E14">
            <v>120</v>
          </cell>
          <cell r="F14">
            <v>70</v>
          </cell>
          <cell r="G14" t="str">
            <v>SET</v>
          </cell>
        </row>
        <row r="15">
          <cell r="C15">
            <v>108</v>
          </cell>
          <cell r="D15" t="str">
            <v>-  2-WAY SWITCH, STAINLESS PLATE</v>
          </cell>
          <cell r="E15">
            <v>135</v>
          </cell>
          <cell r="F15">
            <v>70</v>
          </cell>
          <cell r="G15" t="str">
            <v>SET</v>
          </cell>
        </row>
        <row r="16">
          <cell r="C16">
            <v>109</v>
          </cell>
          <cell r="D16" t="str">
            <v>-  2-WAY SWITCH, PLASTIC PLATE, LIVING STYLE</v>
          </cell>
          <cell r="E16">
            <v>380</v>
          </cell>
          <cell r="F16">
            <v>70</v>
          </cell>
          <cell r="G16" t="str">
            <v>SET</v>
          </cell>
        </row>
        <row r="17">
          <cell r="C17">
            <v>110</v>
          </cell>
          <cell r="D17" t="str">
            <v>-  2-WAY SWITCH, CHROMIUM PLATE, LIVING STYLE</v>
          </cell>
          <cell r="E17">
            <v>460</v>
          </cell>
          <cell r="F17">
            <v>70</v>
          </cell>
          <cell r="G17" t="str">
            <v>SET</v>
          </cell>
        </row>
        <row r="18">
          <cell r="C18">
            <v>111</v>
          </cell>
          <cell r="D18" t="str">
            <v>-  4-WAY SWITCH, PLASTIC PLATE</v>
          </cell>
          <cell r="E18">
            <v>255</v>
          </cell>
          <cell r="F18">
            <v>80</v>
          </cell>
          <cell r="G18" t="str">
            <v>SET</v>
          </cell>
        </row>
        <row r="19">
          <cell r="C19">
            <v>112</v>
          </cell>
          <cell r="D19" t="str">
            <v>-  4-WAY SWITCH, ALUMINIUM PLATE</v>
          </cell>
          <cell r="E19">
            <v>285</v>
          </cell>
          <cell r="F19">
            <v>80</v>
          </cell>
          <cell r="G19" t="str">
            <v>SET</v>
          </cell>
        </row>
        <row r="20">
          <cell r="C20">
            <v>113</v>
          </cell>
          <cell r="D20" t="str">
            <v>-  4-WAY SWITCH, STAINLESS PLATE</v>
          </cell>
          <cell r="E20">
            <v>300</v>
          </cell>
          <cell r="F20">
            <v>80</v>
          </cell>
          <cell r="G20" t="str">
            <v>SET</v>
          </cell>
        </row>
        <row r="21">
          <cell r="C21">
            <v>114</v>
          </cell>
          <cell r="D21" t="str">
            <v>-  4-WAY SWITCH, PLASTIC PLATE, LIVING STYLE</v>
          </cell>
          <cell r="E21">
            <v>475</v>
          </cell>
          <cell r="F21">
            <v>80</v>
          </cell>
          <cell r="G21" t="str">
            <v>SET</v>
          </cell>
        </row>
        <row r="22">
          <cell r="C22">
            <v>115</v>
          </cell>
          <cell r="D22" t="str">
            <v>-  4-WAY SWITCH, CHROMIUM PLATE, LIVING STYLE</v>
          </cell>
          <cell r="E22">
            <v>735</v>
          </cell>
          <cell r="F22">
            <v>80</v>
          </cell>
          <cell r="G22" t="str">
            <v>SET</v>
          </cell>
        </row>
        <row r="23">
          <cell r="C23">
            <v>116</v>
          </cell>
          <cell r="D23" t="str">
            <v>-  PILOT LAMP 1-W. SWITCH. PLASTIC PLATE</v>
          </cell>
          <cell r="E23">
            <v>185</v>
          </cell>
          <cell r="F23">
            <v>50</v>
          </cell>
          <cell r="G23" t="str">
            <v>SET</v>
          </cell>
        </row>
        <row r="24">
          <cell r="C24">
            <v>117</v>
          </cell>
          <cell r="D24" t="str">
            <v>-  PILOT LAMP 1-W. SWITCH. ALUMINIUM PLATE</v>
          </cell>
          <cell r="E24">
            <v>215</v>
          </cell>
          <cell r="F24">
            <v>50</v>
          </cell>
          <cell r="G24" t="str">
            <v>SET</v>
          </cell>
        </row>
        <row r="25">
          <cell r="C25">
            <v>118</v>
          </cell>
          <cell r="D25" t="str">
            <v>-  PILOT LAMP 1-W. SWITCH. STAINLESS PLATE</v>
          </cell>
          <cell r="E25">
            <v>230</v>
          </cell>
          <cell r="F25">
            <v>50</v>
          </cell>
          <cell r="G25" t="str">
            <v>SET</v>
          </cell>
        </row>
        <row r="26">
          <cell r="C26">
            <v>119</v>
          </cell>
          <cell r="D26" t="str">
            <v>-  PILOT LAMP 1-W. SWITCH. PLASTIC PLATE, LIVING STYLE</v>
          </cell>
          <cell r="E26">
            <v>440</v>
          </cell>
          <cell r="F26">
            <v>50</v>
          </cell>
          <cell r="G26" t="str">
            <v>SET</v>
          </cell>
        </row>
        <row r="27">
          <cell r="C27">
            <v>120</v>
          </cell>
          <cell r="D27" t="str">
            <v>-  PILOT LAMP 1-W. SWITCH. CHROMIUM PLATE, LIVING STYLE</v>
          </cell>
          <cell r="E27">
            <v>700</v>
          </cell>
          <cell r="F27">
            <v>50</v>
          </cell>
          <cell r="G27" t="str">
            <v>SET</v>
          </cell>
        </row>
        <row r="28">
          <cell r="C28">
            <v>121</v>
          </cell>
          <cell r="D28" t="str">
            <v>-  DIMMER 1-W. SWITCH. PLASTIC PLATE</v>
          </cell>
          <cell r="E28">
            <v>460</v>
          </cell>
          <cell r="F28">
            <v>70</v>
          </cell>
          <cell r="G28" t="str">
            <v>SET</v>
          </cell>
        </row>
        <row r="29">
          <cell r="C29">
            <v>122</v>
          </cell>
          <cell r="D29" t="str">
            <v>-  DIMMER 1-W. SWITCH. ALUMINIUM PLATE</v>
          </cell>
          <cell r="E29">
            <v>500</v>
          </cell>
          <cell r="F29">
            <v>70</v>
          </cell>
          <cell r="G29" t="str">
            <v>SET</v>
          </cell>
        </row>
        <row r="30">
          <cell r="C30">
            <v>123</v>
          </cell>
          <cell r="D30" t="str">
            <v>-  DIMMER 1-W. SWITCH. STAINLESS PLATE</v>
          </cell>
          <cell r="E30">
            <v>520</v>
          </cell>
          <cell r="F30">
            <v>70</v>
          </cell>
          <cell r="G30" t="str">
            <v>SET</v>
          </cell>
        </row>
        <row r="31">
          <cell r="C31">
            <v>124</v>
          </cell>
          <cell r="D31" t="str">
            <v>-  DIMMER 1-W. SWITCH. PLASTIC PLATE, LIVING STYLE</v>
          </cell>
          <cell r="E31">
            <v>760</v>
          </cell>
          <cell r="F31">
            <v>70</v>
          </cell>
          <cell r="G31" t="str">
            <v>SET</v>
          </cell>
        </row>
        <row r="32">
          <cell r="C32">
            <v>125</v>
          </cell>
          <cell r="D32" t="str">
            <v>-  DIMMER 1-W. SWITCH. CHROMIUM PLATE, LIVING STYLE</v>
          </cell>
          <cell r="E32">
            <v>1000</v>
          </cell>
          <cell r="F32">
            <v>70</v>
          </cell>
          <cell r="G32" t="str">
            <v>SET</v>
          </cell>
        </row>
        <row r="33">
          <cell r="C33">
            <v>126</v>
          </cell>
          <cell r="D33" t="str">
            <v>-  DIMMER 2-W. SWITCH. PLASTIC PLATE</v>
          </cell>
          <cell r="E33">
            <v>680</v>
          </cell>
          <cell r="F33">
            <v>70</v>
          </cell>
          <cell r="G33" t="str">
            <v>SET</v>
          </cell>
        </row>
        <row r="34">
          <cell r="C34">
            <v>127</v>
          </cell>
          <cell r="D34" t="str">
            <v>-  DIMMER 2-W. SWITCH. ALUMINIUM PLATE</v>
          </cell>
          <cell r="E34">
            <v>700</v>
          </cell>
          <cell r="F34">
            <v>80</v>
          </cell>
          <cell r="G34" t="str">
            <v>SET</v>
          </cell>
        </row>
        <row r="35">
          <cell r="C35">
            <v>128</v>
          </cell>
          <cell r="D35" t="str">
            <v>-  DIMMER 2-W. SWITCH. STAINLESS PLATE</v>
          </cell>
          <cell r="E35">
            <v>720</v>
          </cell>
          <cell r="F35">
            <v>80</v>
          </cell>
          <cell r="G35" t="str">
            <v>SET</v>
          </cell>
        </row>
        <row r="36">
          <cell r="C36">
            <v>129</v>
          </cell>
          <cell r="D36" t="str">
            <v>-  DIMMER 2-W. SWITCH. PLASTIC PLATE, LIVING STYLE</v>
          </cell>
          <cell r="E36">
            <v>950</v>
          </cell>
          <cell r="F36">
            <v>80</v>
          </cell>
          <cell r="G36" t="str">
            <v>SET</v>
          </cell>
        </row>
        <row r="37">
          <cell r="C37">
            <v>130</v>
          </cell>
          <cell r="D37" t="str">
            <v>-  DIMMER 2-W. SWITCH. CHROMIUM PLATE, LIVING STYLE</v>
          </cell>
          <cell r="E37">
            <v>1200</v>
          </cell>
          <cell r="F37">
            <v>90</v>
          </cell>
          <cell r="G37" t="str">
            <v>SET</v>
          </cell>
        </row>
        <row r="38">
          <cell r="C38">
            <v>131</v>
          </cell>
          <cell r="D38" t="str">
            <v>-  DIMMER 4-W. SWITCH. PLASTIC PLATE</v>
          </cell>
          <cell r="E38">
            <v>1100</v>
          </cell>
          <cell r="F38">
            <v>90</v>
          </cell>
          <cell r="G38" t="str">
            <v>SET</v>
          </cell>
        </row>
        <row r="39">
          <cell r="C39">
            <v>132</v>
          </cell>
          <cell r="D39" t="str">
            <v>-  DIMMER 4-W. SWITCH. ALUMINIUM PLATE</v>
          </cell>
          <cell r="E39">
            <v>1200</v>
          </cell>
          <cell r="F39">
            <v>90</v>
          </cell>
          <cell r="G39" t="str">
            <v>SET</v>
          </cell>
        </row>
        <row r="40">
          <cell r="C40">
            <v>133</v>
          </cell>
          <cell r="D40" t="str">
            <v>-  DIMMER 4-W. SWITCH. STAINLESS PLATE</v>
          </cell>
          <cell r="E40">
            <v>1250</v>
          </cell>
          <cell r="F40">
            <v>90</v>
          </cell>
          <cell r="G40" t="str">
            <v>SET</v>
          </cell>
        </row>
        <row r="41">
          <cell r="C41">
            <v>134</v>
          </cell>
          <cell r="D41" t="str">
            <v>-  DIMMER 4-W. SWITCH. PLASTIC PLATE, LIVING STYLE</v>
          </cell>
          <cell r="E41">
            <v>2500</v>
          </cell>
          <cell r="F41">
            <v>90</v>
          </cell>
          <cell r="G41" t="str">
            <v>SET</v>
          </cell>
        </row>
        <row r="42">
          <cell r="C42">
            <v>135</v>
          </cell>
          <cell r="D42" t="str">
            <v>-  DIMMER 4-W. SWITCH. CHROMIUM PLATE, LIVING STYLE</v>
          </cell>
          <cell r="E42">
            <v>2800</v>
          </cell>
          <cell r="F42">
            <v>90</v>
          </cell>
          <cell r="G42" t="str">
            <v>SET</v>
          </cell>
        </row>
        <row r="43">
          <cell r="C43">
            <v>143</v>
          </cell>
          <cell r="D43" t="str">
            <v>SPACE</v>
          </cell>
          <cell r="E43">
            <v>31</v>
          </cell>
          <cell r="F43">
            <v>4</v>
          </cell>
          <cell r="G43" t="str">
            <v>M.</v>
          </cell>
        </row>
        <row r="44">
          <cell r="C44">
            <v>141</v>
          </cell>
          <cell r="D44" t="str">
            <v>-  SIMPLEX RECEPTACLE,2P+G, PLASTIC PLATE</v>
          </cell>
          <cell r="E44">
            <v>120</v>
          </cell>
          <cell r="F44">
            <v>50</v>
          </cell>
          <cell r="G44" t="str">
            <v>SET</v>
          </cell>
        </row>
        <row r="45">
          <cell r="C45">
            <v>142</v>
          </cell>
          <cell r="D45" t="str">
            <v>-  SIMPLEX RECEPTACLE,2P+G, ALUMINIUM PLATE</v>
          </cell>
          <cell r="E45">
            <v>150</v>
          </cell>
          <cell r="F45">
            <v>50</v>
          </cell>
          <cell r="G45" t="str">
            <v>SET</v>
          </cell>
        </row>
        <row r="46">
          <cell r="C46">
            <v>143</v>
          </cell>
          <cell r="D46" t="str">
            <v>-  SIMPLEX RECEPTACLE,2P+G, STAINLESS PLATE</v>
          </cell>
          <cell r="E46">
            <v>160</v>
          </cell>
          <cell r="F46">
            <v>50</v>
          </cell>
          <cell r="G46" t="str">
            <v>SET</v>
          </cell>
        </row>
        <row r="47">
          <cell r="C47">
            <v>144</v>
          </cell>
          <cell r="D47" t="str">
            <v>-  SIMPLEX RECEPTACLE,2P, PLASTIC PLATE</v>
          </cell>
          <cell r="E47">
            <v>80</v>
          </cell>
          <cell r="F47">
            <v>50</v>
          </cell>
          <cell r="G47" t="str">
            <v>SET</v>
          </cell>
        </row>
        <row r="48">
          <cell r="C48">
            <v>145</v>
          </cell>
          <cell r="D48" t="str">
            <v>-  SIMPLEX RECEPTACLE,2P, ALUMINIUM PLATE</v>
          </cell>
          <cell r="E48">
            <v>110</v>
          </cell>
          <cell r="F48">
            <v>50</v>
          </cell>
          <cell r="G48" t="str">
            <v>SET</v>
          </cell>
        </row>
        <row r="49">
          <cell r="C49">
            <v>146</v>
          </cell>
          <cell r="D49" t="str">
            <v>-  SIMPLEX RECEPTACLE,2P, STAINLESS PLATE</v>
          </cell>
          <cell r="E49">
            <v>120</v>
          </cell>
          <cell r="F49">
            <v>50</v>
          </cell>
          <cell r="G49" t="str">
            <v>SET</v>
          </cell>
        </row>
        <row r="50">
          <cell r="C50">
            <v>147</v>
          </cell>
          <cell r="D50" t="str">
            <v>-  DUPLEX RECEPTACLE,2P+G, PLASTIC PLATE</v>
          </cell>
          <cell r="E50">
            <v>200</v>
          </cell>
          <cell r="F50">
            <v>70</v>
          </cell>
          <cell r="G50" t="str">
            <v>SET</v>
          </cell>
        </row>
        <row r="51">
          <cell r="C51">
            <v>148</v>
          </cell>
          <cell r="D51" t="str">
            <v>-  DUPLEX RECEPTACLE,2P+G, ALUMINIUM PLATE</v>
          </cell>
          <cell r="E51">
            <v>220</v>
          </cell>
          <cell r="F51">
            <v>70</v>
          </cell>
          <cell r="G51" t="str">
            <v>SET</v>
          </cell>
        </row>
        <row r="52">
          <cell r="C52">
            <v>149</v>
          </cell>
          <cell r="D52" t="str">
            <v>-  DUPLEX RECEPTACLE,2P+G, STAINLESS PLATE</v>
          </cell>
          <cell r="E52">
            <v>240</v>
          </cell>
          <cell r="F52">
            <v>70</v>
          </cell>
          <cell r="G52" t="str">
            <v>SET</v>
          </cell>
        </row>
        <row r="53">
          <cell r="C53">
            <v>150</v>
          </cell>
          <cell r="D53" t="str">
            <v>-  DUPLEX RECEPTACLE,2P, PLASTIC PLATE</v>
          </cell>
          <cell r="E53">
            <v>120</v>
          </cell>
          <cell r="F53">
            <v>70</v>
          </cell>
          <cell r="G53" t="str">
            <v>SET</v>
          </cell>
        </row>
        <row r="54">
          <cell r="C54">
            <v>151</v>
          </cell>
          <cell r="D54" t="str">
            <v>-  DUPLEX RECEPTACLE,2P, ALUMINIUM PLATE</v>
          </cell>
          <cell r="E54">
            <v>140</v>
          </cell>
          <cell r="F54">
            <v>70</v>
          </cell>
          <cell r="G54" t="str">
            <v>SET</v>
          </cell>
        </row>
        <row r="55">
          <cell r="C55">
            <v>152</v>
          </cell>
          <cell r="D55" t="str">
            <v>-  DUPLEX RECEPTACLE,2P, STAINLESS PLATE</v>
          </cell>
          <cell r="E55">
            <v>160</v>
          </cell>
          <cell r="F55">
            <v>70</v>
          </cell>
          <cell r="G55" t="str">
            <v>SET</v>
          </cell>
        </row>
        <row r="56">
          <cell r="C56">
            <v>153</v>
          </cell>
          <cell r="D56" t="str">
            <v>-  SIMPLEX RECEPTACLE,2P+G, PLASTIC PLATE,LIVING STYLE</v>
          </cell>
          <cell r="E56">
            <v>405</v>
          </cell>
          <cell r="F56">
            <v>50</v>
          </cell>
          <cell r="G56" t="str">
            <v>SET</v>
          </cell>
        </row>
        <row r="57">
          <cell r="C57">
            <v>154</v>
          </cell>
          <cell r="D57" t="str">
            <v>-  SIMPLEX RECEPTACLE,2P+G, CHROMINIUM PLATE, LIVING STYLE</v>
          </cell>
          <cell r="E57">
            <v>665</v>
          </cell>
          <cell r="F57">
            <v>50</v>
          </cell>
          <cell r="G57" t="str">
            <v>SET</v>
          </cell>
        </row>
        <row r="58">
          <cell r="C58">
            <v>155</v>
          </cell>
          <cell r="D58" t="str">
            <v>-  DUPLEX RECEPTACLE,2P+G, PLASTIC PLATE, LIVING STYLE</v>
          </cell>
          <cell r="E58">
            <v>550</v>
          </cell>
          <cell r="F58">
            <v>70</v>
          </cell>
          <cell r="G58" t="str">
            <v>SET</v>
          </cell>
        </row>
        <row r="59">
          <cell r="C59">
            <v>156</v>
          </cell>
          <cell r="D59" t="str">
            <v>-  DUPLEX RECEPTACLE,2P+G, CHROMINIUM PLATE, LIVING STYLE</v>
          </cell>
          <cell r="E59">
            <v>810</v>
          </cell>
          <cell r="F59">
            <v>70</v>
          </cell>
          <cell r="G59" t="str">
            <v>SET</v>
          </cell>
        </row>
        <row r="60">
          <cell r="C60">
            <v>157</v>
          </cell>
          <cell r="D60" t="str">
            <v>-  SIMPLEX RECEPTACLE, 2P+G, POP UP TYPE</v>
          </cell>
          <cell r="E60">
            <v>1400</v>
          </cell>
          <cell r="F60">
            <v>70</v>
          </cell>
          <cell r="G60" t="str">
            <v>SET</v>
          </cell>
        </row>
        <row r="61">
          <cell r="C61">
            <v>158</v>
          </cell>
          <cell r="D61" t="str">
            <v>-  DUPLEX RECEPTACLE, 2P+G, POP UP TYPE</v>
          </cell>
          <cell r="E61">
            <v>2200</v>
          </cell>
          <cell r="F61">
            <v>70</v>
          </cell>
          <cell r="G61" t="str">
            <v>SET</v>
          </cell>
        </row>
        <row r="62">
          <cell r="C62">
            <v>159</v>
          </cell>
          <cell r="D62" t="str">
            <v>-  SHAVER OUTLET W./ISOLATING TRANSFORMER</v>
          </cell>
          <cell r="E62">
            <v>1500</v>
          </cell>
          <cell r="F62">
            <v>70</v>
          </cell>
          <cell r="G62" t="str">
            <v>SET</v>
          </cell>
        </row>
        <row r="63">
          <cell r="C63">
            <v>301</v>
          </cell>
          <cell r="D63" t="str">
            <v>SPACE</v>
          </cell>
          <cell r="E63">
            <v>6570</v>
          </cell>
          <cell r="F63">
            <v>0</v>
          </cell>
          <cell r="G63" t="str">
            <v>SET</v>
          </cell>
        </row>
        <row r="64">
          <cell r="C64">
            <v>161</v>
          </cell>
          <cell r="D64" t="str">
            <v>-  1-WAY SWITCH,WEATHER PROOF</v>
          </cell>
          <cell r="E64">
            <v>280</v>
          </cell>
          <cell r="F64">
            <v>70</v>
          </cell>
          <cell r="G64" t="str">
            <v>SET</v>
          </cell>
        </row>
        <row r="65">
          <cell r="C65">
            <v>162</v>
          </cell>
          <cell r="D65" t="str">
            <v>-  2-WAY SWITCH,WEATHER PROOF</v>
          </cell>
          <cell r="E65">
            <v>300</v>
          </cell>
          <cell r="F65">
            <v>70</v>
          </cell>
          <cell r="G65" t="str">
            <v>SET</v>
          </cell>
        </row>
        <row r="66">
          <cell r="C66">
            <v>163</v>
          </cell>
          <cell r="D66" t="str">
            <v>-  4-WAY SWITCH,WEATHER PROOF</v>
          </cell>
          <cell r="E66">
            <v>460</v>
          </cell>
          <cell r="F66">
            <v>70</v>
          </cell>
          <cell r="G66" t="str">
            <v>SET</v>
          </cell>
        </row>
        <row r="67">
          <cell r="C67">
            <v>164</v>
          </cell>
          <cell r="D67" t="str">
            <v>-  SIMPLEX RECEPTACLE, 2P+G, WEATHER PROOF</v>
          </cell>
          <cell r="E67">
            <v>340</v>
          </cell>
          <cell r="F67">
            <v>70</v>
          </cell>
          <cell r="G67" t="str">
            <v>SET</v>
          </cell>
        </row>
        <row r="68">
          <cell r="C68">
            <v>165</v>
          </cell>
          <cell r="D68" t="str">
            <v>-  SIMPLEX RECEPTACLE, 2P, WEATHER PROOF</v>
          </cell>
          <cell r="E68">
            <v>300</v>
          </cell>
          <cell r="F68">
            <v>70</v>
          </cell>
          <cell r="G68" t="str">
            <v>SET</v>
          </cell>
        </row>
        <row r="69">
          <cell r="C69">
            <v>166</v>
          </cell>
          <cell r="D69" t="str">
            <v>-  DUPLEX RECEPTACLE, 2P+G, WEATHER PROOF</v>
          </cell>
          <cell r="E69">
            <v>420</v>
          </cell>
          <cell r="F69">
            <v>70</v>
          </cell>
          <cell r="G69" t="str">
            <v>SET</v>
          </cell>
        </row>
        <row r="70">
          <cell r="C70">
            <v>167</v>
          </cell>
          <cell r="D70" t="str">
            <v>-  DUPLEX RECEPTACLE, 2P, WEATHER PROOF</v>
          </cell>
          <cell r="E70">
            <v>340</v>
          </cell>
          <cell r="F70">
            <v>70</v>
          </cell>
          <cell r="G70" t="str">
            <v>SET</v>
          </cell>
        </row>
        <row r="71">
          <cell r="C71">
            <v>311</v>
          </cell>
          <cell r="D71" t="str">
            <v>SPACE</v>
          </cell>
          <cell r="E71">
            <v>69200</v>
          </cell>
          <cell r="F71">
            <v>1000</v>
          </cell>
          <cell r="G71" t="str">
            <v>SET</v>
          </cell>
        </row>
        <row r="72">
          <cell r="C72">
            <v>171</v>
          </cell>
          <cell r="D72" t="str">
            <v>-  POWER PLUG 2P 15A. 250V.</v>
          </cell>
          <cell r="E72">
            <v>150</v>
          </cell>
          <cell r="F72">
            <v>80</v>
          </cell>
          <cell r="G72" t="str">
            <v>SET</v>
          </cell>
        </row>
        <row r="73">
          <cell r="C73">
            <v>172</v>
          </cell>
          <cell r="D73" t="str">
            <v>-  POWER PLUG 2P 20A. 250V.</v>
          </cell>
          <cell r="E73">
            <v>165</v>
          </cell>
          <cell r="F73">
            <v>80</v>
          </cell>
          <cell r="G73" t="str">
            <v>SET</v>
          </cell>
        </row>
        <row r="74">
          <cell r="C74">
            <v>173</v>
          </cell>
          <cell r="D74" t="str">
            <v>-  POWER PLUG 2P+G 15A. 250V.</v>
          </cell>
          <cell r="E74">
            <v>125</v>
          </cell>
          <cell r="F74">
            <v>80</v>
          </cell>
          <cell r="G74" t="str">
            <v>SET</v>
          </cell>
        </row>
        <row r="75">
          <cell r="C75">
            <v>174</v>
          </cell>
          <cell r="D75" t="str">
            <v>-  POWER PLUG 2P+G 20A. 250V.</v>
          </cell>
          <cell r="E75">
            <v>165</v>
          </cell>
          <cell r="F75">
            <v>80</v>
          </cell>
          <cell r="G75" t="str">
            <v>SET</v>
          </cell>
        </row>
        <row r="76">
          <cell r="C76">
            <v>175</v>
          </cell>
          <cell r="D76" t="str">
            <v>-  POWER PLUG 2P+G 30A. 250V.</v>
          </cell>
          <cell r="E76">
            <v>495</v>
          </cell>
          <cell r="F76">
            <v>100</v>
          </cell>
          <cell r="G76" t="str">
            <v>SET</v>
          </cell>
        </row>
        <row r="77">
          <cell r="C77">
            <v>176</v>
          </cell>
          <cell r="D77" t="str">
            <v>-  POWER PLUG 2P+G 50A. 250V.</v>
          </cell>
          <cell r="E77">
            <v>1780</v>
          </cell>
          <cell r="F77">
            <v>200</v>
          </cell>
          <cell r="G77" t="str">
            <v>SET</v>
          </cell>
        </row>
        <row r="78">
          <cell r="C78">
            <v>321</v>
          </cell>
          <cell r="D78" t="str">
            <v>SPACE</v>
          </cell>
          <cell r="E78">
            <v>7550</v>
          </cell>
          <cell r="F78">
            <v>200</v>
          </cell>
          <cell r="G78" t="str">
            <v>SET</v>
          </cell>
        </row>
        <row r="79">
          <cell r="C79">
            <v>181</v>
          </cell>
          <cell r="D79" t="str">
            <v>-  PUSH BUTTON BELL SWITCH</v>
          </cell>
          <cell r="E79">
            <v>160</v>
          </cell>
          <cell r="F79">
            <v>100</v>
          </cell>
          <cell r="G79" t="str">
            <v>SET</v>
          </cell>
        </row>
        <row r="80">
          <cell r="C80">
            <v>182</v>
          </cell>
          <cell r="D80" t="str">
            <v>-  BELL 220 VAC.</v>
          </cell>
          <cell r="E80">
            <v>330</v>
          </cell>
          <cell r="F80">
            <v>100</v>
          </cell>
          <cell r="G80" t="str">
            <v>SET</v>
          </cell>
        </row>
        <row r="81">
          <cell r="C81">
            <v>183</v>
          </cell>
          <cell r="D81" t="str">
            <v>-  BUZZER 220 VAC.</v>
          </cell>
          <cell r="E81">
            <v>330</v>
          </cell>
          <cell r="F81">
            <v>100</v>
          </cell>
          <cell r="G81" t="str">
            <v>SET</v>
          </cell>
        </row>
        <row r="82">
          <cell r="C82">
            <v>184</v>
          </cell>
          <cell r="D82" t="str">
            <v>-  DUTONE BELL</v>
          </cell>
          <cell r="E82">
            <v>200</v>
          </cell>
          <cell r="F82">
            <v>100</v>
          </cell>
          <cell r="G82" t="str">
            <v>SET</v>
          </cell>
        </row>
        <row r="83">
          <cell r="C83">
            <v>2</v>
          </cell>
          <cell r="D83" t="str">
            <v>ACCESSORIES</v>
          </cell>
          <cell r="E83">
            <v>0</v>
          </cell>
          <cell r="F83">
            <v>0</v>
          </cell>
          <cell r="G83" t="str">
            <v>SET</v>
          </cell>
        </row>
        <row r="84">
          <cell r="C84">
            <v>201</v>
          </cell>
          <cell r="D84" t="str">
            <v>-  SAFETY SWITCH 2P, 30A. FUSIBLE</v>
          </cell>
          <cell r="E84">
            <v>800</v>
          </cell>
          <cell r="F84">
            <v>100</v>
          </cell>
          <cell r="G84" t="str">
            <v>EA.</v>
          </cell>
        </row>
        <row r="85">
          <cell r="C85">
            <v>202</v>
          </cell>
          <cell r="D85" t="str">
            <v>-  SAFETY SWITCH 2P, 60A. FUSIBLE</v>
          </cell>
          <cell r="E85">
            <v>1700</v>
          </cell>
          <cell r="F85">
            <v>150</v>
          </cell>
          <cell r="G85" t="str">
            <v>EA.</v>
          </cell>
        </row>
        <row r="86">
          <cell r="C86">
            <v>203</v>
          </cell>
          <cell r="D86" t="str">
            <v>-  SAFETY SWITCH 2P, 100A. FUSIBLE</v>
          </cell>
          <cell r="E86">
            <v>2500</v>
          </cell>
          <cell r="F86">
            <v>200</v>
          </cell>
          <cell r="G86" t="str">
            <v>EA.</v>
          </cell>
        </row>
        <row r="87">
          <cell r="C87">
            <v>204</v>
          </cell>
          <cell r="D87" t="str">
            <v>-  SAFETY SWITCH 2P, 200A. FUSIBLE</v>
          </cell>
          <cell r="E87">
            <v>5000</v>
          </cell>
          <cell r="F87">
            <v>400</v>
          </cell>
          <cell r="G87" t="str">
            <v>EA.</v>
          </cell>
        </row>
        <row r="88">
          <cell r="C88">
            <v>205</v>
          </cell>
          <cell r="D88" t="str">
            <v>-  SAFETY SWITCH 2P, 400A. FUSIBLE</v>
          </cell>
          <cell r="E88">
            <v>16000</v>
          </cell>
          <cell r="F88">
            <v>500</v>
          </cell>
          <cell r="G88" t="str">
            <v>EA.</v>
          </cell>
        </row>
        <row r="89">
          <cell r="C89">
            <v>206</v>
          </cell>
          <cell r="D89" t="str">
            <v xml:space="preserve">-  SAFETY SWITCH 2P, 30A. NON-FUSIBLE </v>
          </cell>
          <cell r="E89">
            <v>900</v>
          </cell>
          <cell r="F89">
            <v>100</v>
          </cell>
          <cell r="G89" t="str">
            <v>EA.</v>
          </cell>
        </row>
        <row r="90">
          <cell r="C90">
            <v>207</v>
          </cell>
          <cell r="D90" t="str">
            <v xml:space="preserve">-  SAFETY SWITCH 2P, 60A. NON-FUSIBLE </v>
          </cell>
          <cell r="E90">
            <v>1100</v>
          </cell>
          <cell r="F90">
            <v>150</v>
          </cell>
          <cell r="G90" t="str">
            <v>EA.</v>
          </cell>
        </row>
        <row r="91">
          <cell r="C91">
            <v>208</v>
          </cell>
          <cell r="D91" t="str">
            <v xml:space="preserve">-  SAFETY SWITCH 2P, 100A. NON-FUSIBLE </v>
          </cell>
          <cell r="E91">
            <v>2200</v>
          </cell>
          <cell r="F91">
            <v>200</v>
          </cell>
          <cell r="G91" t="str">
            <v>EA.</v>
          </cell>
        </row>
        <row r="92">
          <cell r="C92">
            <v>209</v>
          </cell>
          <cell r="D92" t="str">
            <v xml:space="preserve">-  SAFETY SWITCH 2P, 200A. NON-FUSIBLE </v>
          </cell>
          <cell r="E92">
            <v>4800</v>
          </cell>
          <cell r="F92">
            <v>400</v>
          </cell>
          <cell r="G92" t="str">
            <v>EA.</v>
          </cell>
        </row>
        <row r="93">
          <cell r="C93">
            <v>210</v>
          </cell>
          <cell r="D93" t="str">
            <v>-  SAFETY SWITCH 2P, 30A. FUSIBLE , OUTDOOR TYPE</v>
          </cell>
          <cell r="E93">
            <v>1100</v>
          </cell>
          <cell r="F93">
            <v>100</v>
          </cell>
          <cell r="G93" t="str">
            <v>EA.</v>
          </cell>
        </row>
        <row r="94">
          <cell r="C94">
            <v>211</v>
          </cell>
          <cell r="D94" t="str">
            <v>-  SAFETY SWITCH 2P, 60A. FUSIBLE , OUTDOOR TYPE</v>
          </cell>
          <cell r="E94">
            <v>2000</v>
          </cell>
          <cell r="F94">
            <v>150</v>
          </cell>
          <cell r="G94" t="str">
            <v>EA.</v>
          </cell>
        </row>
        <row r="95">
          <cell r="C95">
            <v>212</v>
          </cell>
          <cell r="D95" t="str">
            <v>-  SAFETY SWITCH 2P, 100A. FUSIBLE , OUTDOOR TYPE</v>
          </cell>
          <cell r="E95">
            <v>3000</v>
          </cell>
          <cell r="F95">
            <v>200</v>
          </cell>
          <cell r="G95" t="str">
            <v>EA.</v>
          </cell>
        </row>
        <row r="96">
          <cell r="C96">
            <v>213</v>
          </cell>
          <cell r="D96" t="str">
            <v>-  SAFETY SWITCH 2P, 200A. FUSIBLE , OUTDOOR TYPE</v>
          </cell>
          <cell r="E96">
            <v>6000</v>
          </cell>
          <cell r="F96">
            <v>400</v>
          </cell>
          <cell r="G96" t="str">
            <v>EA.</v>
          </cell>
        </row>
        <row r="97">
          <cell r="C97">
            <v>214</v>
          </cell>
          <cell r="D97" t="str">
            <v>-  SAFETY SWITCH 2P, 400A. FUSIBLE , OUTDOOR TYPE</v>
          </cell>
          <cell r="E97">
            <v>20000</v>
          </cell>
          <cell r="F97">
            <v>500</v>
          </cell>
          <cell r="G97" t="str">
            <v>EA.</v>
          </cell>
        </row>
        <row r="98">
          <cell r="C98">
            <v>215</v>
          </cell>
          <cell r="D98" t="str">
            <v>-  SAFETY SWITCH 2P, 30A. NON-FUSE , OUTDOOR TYPE</v>
          </cell>
          <cell r="E98">
            <v>1000</v>
          </cell>
          <cell r="F98">
            <v>100</v>
          </cell>
          <cell r="G98" t="str">
            <v>EA.</v>
          </cell>
        </row>
        <row r="99">
          <cell r="C99">
            <v>216</v>
          </cell>
          <cell r="D99" t="str">
            <v>-  SAFETY SWITCH 2P, 60A. NON-FUSE , OUTDOOR TYPE</v>
          </cell>
          <cell r="E99">
            <v>1700</v>
          </cell>
          <cell r="F99">
            <v>150</v>
          </cell>
          <cell r="G99" t="str">
            <v>EA.</v>
          </cell>
        </row>
        <row r="100">
          <cell r="C100">
            <v>217</v>
          </cell>
          <cell r="D100" t="str">
            <v>-  SAFETY SWITCH 2P, 100A. NON-FUSE , OUTDOOR TYPE</v>
          </cell>
          <cell r="E100">
            <v>3800</v>
          </cell>
          <cell r="F100">
            <v>200</v>
          </cell>
          <cell r="G100" t="str">
            <v>EA.</v>
          </cell>
        </row>
        <row r="101">
          <cell r="C101">
            <v>218</v>
          </cell>
          <cell r="D101" t="str">
            <v>-  SAFETY SWITCH 2P, 200A. NON-FUSE , OUTDOOR TYPE</v>
          </cell>
          <cell r="E101">
            <v>7000</v>
          </cell>
          <cell r="F101">
            <v>400</v>
          </cell>
          <cell r="G101" t="str">
            <v>EA.</v>
          </cell>
        </row>
        <row r="102">
          <cell r="C102">
            <v>219</v>
          </cell>
          <cell r="D102" t="str">
            <v>-  SAFETY SWITCH 3P, 30A. FUSIBLE</v>
          </cell>
          <cell r="E102">
            <v>3200</v>
          </cell>
          <cell r="F102">
            <v>200</v>
          </cell>
          <cell r="G102" t="str">
            <v>EA.</v>
          </cell>
        </row>
        <row r="103">
          <cell r="C103">
            <v>220</v>
          </cell>
          <cell r="D103" t="str">
            <v>-  SAFETY SWITCH 3P, 60A. FUSIBLE</v>
          </cell>
          <cell r="E103">
            <v>4000</v>
          </cell>
          <cell r="F103">
            <v>300</v>
          </cell>
          <cell r="G103" t="str">
            <v>EA.</v>
          </cell>
        </row>
        <row r="104">
          <cell r="C104">
            <v>221</v>
          </cell>
          <cell r="D104" t="str">
            <v>-  SAFETY SWITCH 3P, 100A. FUSIBLE</v>
          </cell>
          <cell r="E104">
            <v>8000</v>
          </cell>
          <cell r="F104">
            <v>400</v>
          </cell>
          <cell r="G104" t="str">
            <v>EA.</v>
          </cell>
        </row>
        <row r="105">
          <cell r="C105">
            <v>222</v>
          </cell>
          <cell r="D105" t="str">
            <v>-  SAFETY SWITCH 3P, 200A. FUSIBLE</v>
          </cell>
          <cell r="E105">
            <v>11000</v>
          </cell>
          <cell r="F105">
            <v>400</v>
          </cell>
          <cell r="G105" t="str">
            <v>EA.</v>
          </cell>
        </row>
        <row r="106">
          <cell r="C106">
            <v>223</v>
          </cell>
          <cell r="D106" t="str">
            <v>-  SAFETY SWITCH 3P, 400A. FUSIBLE</v>
          </cell>
          <cell r="E106">
            <v>32000</v>
          </cell>
          <cell r="F106">
            <v>500</v>
          </cell>
          <cell r="G106" t="str">
            <v>EA.</v>
          </cell>
        </row>
        <row r="107">
          <cell r="C107">
            <v>224</v>
          </cell>
          <cell r="D107" t="str">
            <v>-  SAFETY SWITCH 3P, 600A. FUSIBLE</v>
          </cell>
          <cell r="E107">
            <v>50000</v>
          </cell>
          <cell r="F107">
            <v>500</v>
          </cell>
          <cell r="G107" t="str">
            <v>EA.</v>
          </cell>
        </row>
        <row r="108">
          <cell r="C108">
            <v>225</v>
          </cell>
          <cell r="D108" t="str">
            <v>-  SAFETY SWITCH 3P, 800A. FUSIBLE</v>
          </cell>
          <cell r="E108">
            <v>82000</v>
          </cell>
          <cell r="F108">
            <v>1000</v>
          </cell>
          <cell r="G108" t="str">
            <v>EA.</v>
          </cell>
        </row>
        <row r="109">
          <cell r="C109">
            <v>226</v>
          </cell>
          <cell r="D109" t="str">
            <v>-  SAFETY SWITCH 3P, 1,200A. FUSIBLE</v>
          </cell>
          <cell r="E109">
            <v>110000</v>
          </cell>
          <cell r="F109">
            <v>1000</v>
          </cell>
          <cell r="G109" t="str">
            <v>EA.</v>
          </cell>
        </row>
        <row r="110">
          <cell r="C110">
            <v>227</v>
          </cell>
          <cell r="D110" t="str">
            <v xml:space="preserve">-  SAFETY SWITCH 3P, 30A. NON-FUSE </v>
          </cell>
          <cell r="E110">
            <v>2000</v>
          </cell>
          <cell r="F110">
            <v>200</v>
          </cell>
          <cell r="G110" t="str">
            <v>EA.</v>
          </cell>
        </row>
        <row r="111">
          <cell r="C111">
            <v>228</v>
          </cell>
          <cell r="D111" t="str">
            <v xml:space="preserve">-  SAFETY SWITCH 3P, 60A. NON-FUSE </v>
          </cell>
          <cell r="E111">
            <v>3000</v>
          </cell>
          <cell r="F111">
            <v>300</v>
          </cell>
          <cell r="G111" t="str">
            <v>EA.</v>
          </cell>
        </row>
        <row r="112">
          <cell r="C112">
            <v>229</v>
          </cell>
          <cell r="D112" t="str">
            <v xml:space="preserve">-  SAFETY SWITCH 3P, 100A. NON-FUSE </v>
          </cell>
          <cell r="E112">
            <v>5000</v>
          </cell>
          <cell r="F112">
            <v>400</v>
          </cell>
          <cell r="G112" t="str">
            <v>EA.</v>
          </cell>
        </row>
        <row r="113">
          <cell r="C113">
            <v>230</v>
          </cell>
          <cell r="D113" t="str">
            <v xml:space="preserve">-  SAFETY SWITCH 3P, 200A. NON-FUSE </v>
          </cell>
          <cell r="E113">
            <v>11000</v>
          </cell>
          <cell r="F113">
            <v>400</v>
          </cell>
          <cell r="G113" t="str">
            <v>EA.</v>
          </cell>
        </row>
        <row r="114">
          <cell r="C114">
            <v>231</v>
          </cell>
          <cell r="D114" t="str">
            <v xml:space="preserve">-  SAFETY SWITCH 3P, 400A. NON-FUSE </v>
          </cell>
          <cell r="E114">
            <v>30000</v>
          </cell>
          <cell r="F114">
            <v>500</v>
          </cell>
          <cell r="G114" t="str">
            <v>EA.</v>
          </cell>
        </row>
        <row r="115">
          <cell r="C115">
            <v>232</v>
          </cell>
          <cell r="D115" t="str">
            <v xml:space="preserve">-  SAFETY SWITCH 3P, 600A. NON-FUSE </v>
          </cell>
          <cell r="E115">
            <v>50000</v>
          </cell>
          <cell r="F115">
            <v>500</v>
          </cell>
          <cell r="G115" t="str">
            <v>EA.</v>
          </cell>
        </row>
        <row r="116">
          <cell r="C116">
            <v>233</v>
          </cell>
          <cell r="D116" t="str">
            <v>-  SAFETY SWITCH 3P, 30A. FUSIBLE , OUTDOOR TYPE</v>
          </cell>
          <cell r="E116">
            <v>5000</v>
          </cell>
          <cell r="F116">
            <v>200</v>
          </cell>
          <cell r="G116" t="str">
            <v>EA.</v>
          </cell>
        </row>
        <row r="117">
          <cell r="C117">
            <v>234</v>
          </cell>
          <cell r="D117" t="str">
            <v>-  SAFETY SWITCH 3P, 60A. FUSIBLE , OUTDOOR TYPE</v>
          </cell>
          <cell r="E117">
            <v>6000</v>
          </cell>
          <cell r="F117">
            <v>300</v>
          </cell>
          <cell r="G117" t="str">
            <v>EA.</v>
          </cell>
        </row>
        <row r="118">
          <cell r="C118">
            <v>235</v>
          </cell>
          <cell r="D118" t="str">
            <v>-  SAFETY SWITCH 3P, 100A. FUSIBLE , OUTDOOR TYPE</v>
          </cell>
          <cell r="E118">
            <v>10000</v>
          </cell>
          <cell r="F118">
            <v>400</v>
          </cell>
          <cell r="G118" t="str">
            <v>EA.</v>
          </cell>
        </row>
        <row r="119">
          <cell r="C119">
            <v>236</v>
          </cell>
          <cell r="D119" t="str">
            <v>-  SAFETY SWITCH 3P, 200A. FUSIBLE , OUTDOOR TYPE</v>
          </cell>
          <cell r="E119">
            <v>13000</v>
          </cell>
          <cell r="F119">
            <v>400</v>
          </cell>
          <cell r="G119" t="str">
            <v>EA.</v>
          </cell>
        </row>
        <row r="120">
          <cell r="C120">
            <v>237</v>
          </cell>
          <cell r="D120" t="str">
            <v>-  SAFETY SWITCH 3P, 400A. FUSIBLE , OUTDOOR TYPE</v>
          </cell>
          <cell r="E120">
            <v>35000</v>
          </cell>
          <cell r="F120">
            <v>500</v>
          </cell>
          <cell r="G120" t="str">
            <v>EA.</v>
          </cell>
        </row>
        <row r="121">
          <cell r="C121">
            <v>238</v>
          </cell>
          <cell r="D121" t="str">
            <v>-  SAFETY SWITCH 3P, 600A. FUSIBLE , OUTDOOR TYPE</v>
          </cell>
          <cell r="E121">
            <v>60000</v>
          </cell>
          <cell r="F121">
            <v>500</v>
          </cell>
          <cell r="G121" t="str">
            <v>EA.</v>
          </cell>
        </row>
        <row r="122">
          <cell r="C122">
            <v>239</v>
          </cell>
          <cell r="D122" t="str">
            <v>-  SAFETY SWITCH 3P, 800A. FUSIBLE , OUTDOOR TYPE</v>
          </cell>
          <cell r="E122">
            <v>100000</v>
          </cell>
          <cell r="F122">
            <v>1000</v>
          </cell>
          <cell r="G122" t="str">
            <v>EA.</v>
          </cell>
        </row>
        <row r="123">
          <cell r="C123">
            <v>240</v>
          </cell>
          <cell r="D123" t="str">
            <v>-  SAFETY SWITCH 3P, 1,200A. FUSIBLE , OUTDOOR TYPE</v>
          </cell>
          <cell r="E123">
            <v>120000</v>
          </cell>
          <cell r="F123">
            <v>1000</v>
          </cell>
          <cell r="G123" t="str">
            <v>EA.</v>
          </cell>
        </row>
        <row r="124">
          <cell r="C124">
            <v>241</v>
          </cell>
          <cell r="D124" t="str">
            <v>-  SAFETY SWITCH 3P, 30A. NON-FUSE , OUTDOOR TYPE</v>
          </cell>
          <cell r="E124">
            <v>2800</v>
          </cell>
          <cell r="F124">
            <v>200</v>
          </cell>
          <cell r="G124" t="str">
            <v>EA.</v>
          </cell>
        </row>
        <row r="125">
          <cell r="C125">
            <v>242</v>
          </cell>
          <cell r="D125" t="str">
            <v>-  SAFETY SWITCH 3P, 60A. NON-FUSE , OUTDOOR TYPE</v>
          </cell>
          <cell r="E125">
            <v>5000</v>
          </cell>
          <cell r="F125">
            <v>300</v>
          </cell>
          <cell r="G125" t="str">
            <v>EA.</v>
          </cell>
        </row>
        <row r="126">
          <cell r="C126">
            <v>243</v>
          </cell>
          <cell r="D126" t="str">
            <v>-  SAFETY SWITCH 3P, 100A. NON-FUSE , OUTDOOR TYPE</v>
          </cell>
          <cell r="E126">
            <v>7000</v>
          </cell>
          <cell r="F126">
            <v>400</v>
          </cell>
          <cell r="G126" t="str">
            <v>EA.</v>
          </cell>
        </row>
        <row r="127">
          <cell r="C127">
            <v>244</v>
          </cell>
          <cell r="D127" t="str">
            <v>-  SAFETY SWITCH 3P, 200A. NON-FUSE , OUTDOOR TYPE</v>
          </cell>
          <cell r="E127">
            <v>14000</v>
          </cell>
          <cell r="F127">
            <v>400</v>
          </cell>
          <cell r="G127" t="str">
            <v>EA.</v>
          </cell>
        </row>
        <row r="128">
          <cell r="C128">
            <v>245</v>
          </cell>
          <cell r="D128" t="str">
            <v>-  SAFETY SWITCH 3P, 400A. NON-FUSE , OUTDOOR TYPE</v>
          </cell>
          <cell r="E128">
            <v>33000</v>
          </cell>
          <cell r="F128">
            <v>500</v>
          </cell>
          <cell r="G128" t="str">
            <v>EA.</v>
          </cell>
        </row>
        <row r="129">
          <cell r="C129">
            <v>246</v>
          </cell>
          <cell r="D129" t="str">
            <v>-  SAFETY SWITCH 3P, 600A. NON-FUSE , OUTDOOR TYPE</v>
          </cell>
          <cell r="E129">
            <v>60000</v>
          </cell>
          <cell r="F129">
            <v>500</v>
          </cell>
          <cell r="G129" t="str">
            <v>EA.</v>
          </cell>
        </row>
        <row r="130">
          <cell r="C130">
            <v>409</v>
          </cell>
          <cell r="D130" t="str">
            <v>SPACE</v>
          </cell>
          <cell r="E130">
            <v>2830</v>
          </cell>
          <cell r="F130">
            <v>200</v>
          </cell>
          <cell r="G130" t="str">
            <v>SET</v>
          </cell>
        </row>
        <row r="131">
          <cell r="C131">
            <v>251</v>
          </cell>
          <cell r="D131" t="str">
            <v>-  CB 1P 10A. 5KA. W./ENCLOSURE</v>
          </cell>
          <cell r="E131">
            <v>410</v>
          </cell>
          <cell r="F131">
            <v>100</v>
          </cell>
          <cell r="G131" t="str">
            <v>EA.</v>
          </cell>
        </row>
        <row r="132">
          <cell r="C132">
            <v>252</v>
          </cell>
          <cell r="D132" t="str">
            <v>-  CB 1P 15A. 5KA. W./ENCLOSURE</v>
          </cell>
          <cell r="E132">
            <v>410</v>
          </cell>
          <cell r="F132">
            <v>100</v>
          </cell>
          <cell r="G132" t="str">
            <v>EA.</v>
          </cell>
        </row>
        <row r="133">
          <cell r="C133">
            <v>253</v>
          </cell>
          <cell r="D133" t="str">
            <v>-  CB 1P 20A. 5KA. W./ENCLOSURE</v>
          </cell>
          <cell r="E133">
            <v>410</v>
          </cell>
          <cell r="F133">
            <v>100</v>
          </cell>
          <cell r="G133" t="str">
            <v>EA.</v>
          </cell>
        </row>
        <row r="134">
          <cell r="C134">
            <v>254</v>
          </cell>
          <cell r="D134" t="str">
            <v>-  CB 1P 30A. 5KA. W./ENCLOSURE</v>
          </cell>
          <cell r="E134">
            <v>410</v>
          </cell>
          <cell r="F134">
            <v>100</v>
          </cell>
          <cell r="G134" t="str">
            <v>EA.</v>
          </cell>
        </row>
        <row r="135">
          <cell r="C135">
            <v>255</v>
          </cell>
          <cell r="D135" t="str">
            <v>-  CB 1P 40A. 5KA. W./ENCLOSURE</v>
          </cell>
          <cell r="E135">
            <v>480</v>
          </cell>
          <cell r="F135">
            <v>100</v>
          </cell>
          <cell r="G135" t="str">
            <v>EA.</v>
          </cell>
        </row>
        <row r="136">
          <cell r="C136">
            <v>256</v>
          </cell>
          <cell r="D136" t="str">
            <v>-  CB 2P 15A. 10KA. W./ENCLOSURE</v>
          </cell>
          <cell r="E136">
            <v>730</v>
          </cell>
          <cell r="F136">
            <v>100</v>
          </cell>
          <cell r="G136" t="str">
            <v>EA.</v>
          </cell>
        </row>
        <row r="137">
          <cell r="C137">
            <v>257</v>
          </cell>
          <cell r="D137" t="str">
            <v>-  CB 2P 30A. 10KA. W./ENCLOSURE</v>
          </cell>
          <cell r="E137">
            <v>730</v>
          </cell>
          <cell r="F137">
            <v>100</v>
          </cell>
          <cell r="G137" t="str">
            <v>EA.</v>
          </cell>
        </row>
        <row r="138">
          <cell r="C138">
            <v>258</v>
          </cell>
          <cell r="D138" t="str">
            <v>-  CB 2P 40A. 10KA. W./ENCLOSURE</v>
          </cell>
          <cell r="E138">
            <v>730</v>
          </cell>
          <cell r="F138">
            <v>100</v>
          </cell>
          <cell r="G138" t="str">
            <v>EA.</v>
          </cell>
        </row>
        <row r="139">
          <cell r="C139">
            <v>259</v>
          </cell>
          <cell r="D139" t="str">
            <v>-  CB 2P 50A. 10KA. W./ENCLOSURE</v>
          </cell>
          <cell r="E139">
            <v>730</v>
          </cell>
          <cell r="F139">
            <v>100</v>
          </cell>
          <cell r="G139" t="str">
            <v>EA.</v>
          </cell>
        </row>
        <row r="140">
          <cell r="C140">
            <v>260</v>
          </cell>
          <cell r="D140" t="str">
            <v>-  CB 2P 60A. 10KA. W./ENCLOSURE</v>
          </cell>
          <cell r="E140">
            <v>880</v>
          </cell>
          <cell r="F140">
            <v>100</v>
          </cell>
          <cell r="G140" t="str">
            <v>EA.</v>
          </cell>
        </row>
        <row r="141">
          <cell r="C141">
            <v>261</v>
          </cell>
          <cell r="D141" t="str">
            <v>-  RCB 1P 10A., 5KA.,10mA. W./ENCLOSURE</v>
          </cell>
          <cell r="E141">
            <v>1780</v>
          </cell>
          <cell r="F141">
            <v>150</v>
          </cell>
          <cell r="G141" t="str">
            <v>EA.</v>
          </cell>
        </row>
        <row r="142">
          <cell r="C142">
            <v>262</v>
          </cell>
          <cell r="D142" t="str">
            <v>-  RCB 1P 15A., 5KA.,10mA. W./ENCLOSURE</v>
          </cell>
          <cell r="E142">
            <v>1780</v>
          </cell>
          <cell r="F142">
            <v>150</v>
          </cell>
          <cell r="G142" t="str">
            <v>EA.</v>
          </cell>
        </row>
        <row r="143">
          <cell r="C143">
            <v>263</v>
          </cell>
          <cell r="D143" t="str">
            <v>-  RCB 1P 20A., 5KA.,10mA. W./ENCLOSURE</v>
          </cell>
          <cell r="E143">
            <v>1780</v>
          </cell>
          <cell r="F143">
            <v>150</v>
          </cell>
          <cell r="G143" t="str">
            <v>EA.</v>
          </cell>
        </row>
        <row r="144">
          <cell r="C144">
            <v>264</v>
          </cell>
          <cell r="D144" t="str">
            <v>-  RCB 1P 30A., 5KA.,10mA. W./ENCLOSURE</v>
          </cell>
          <cell r="E144">
            <v>1780</v>
          </cell>
          <cell r="F144">
            <v>150</v>
          </cell>
          <cell r="G144" t="str">
            <v>EA.</v>
          </cell>
        </row>
        <row r="145">
          <cell r="C145">
            <v>265</v>
          </cell>
          <cell r="D145" t="str">
            <v>-  RCB 1P 40A., 5KA.,10mA. W./ENCLOSURE</v>
          </cell>
          <cell r="E145">
            <v>2680</v>
          </cell>
          <cell r="F145">
            <v>150</v>
          </cell>
          <cell r="G145" t="str">
            <v>EA.</v>
          </cell>
        </row>
        <row r="146">
          <cell r="C146">
            <v>266</v>
          </cell>
          <cell r="D146" t="str">
            <v>-  RCB 1P 15A., 10KA.,10mA. W./ENCLOSURE</v>
          </cell>
          <cell r="E146">
            <v>3080</v>
          </cell>
          <cell r="F146">
            <v>150</v>
          </cell>
          <cell r="G146" t="str">
            <v>EA.</v>
          </cell>
        </row>
        <row r="147">
          <cell r="C147">
            <v>267</v>
          </cell>
          <cell r="D147" t="str">
            <v>-  RCB 1P 30A., 10KA.,10mA. W./ENCLOSURE</v>
          </cell>
          <cell r="E147">
            <v>3080</v>
          </cell>
          <cell r="F147">
            <v>150</v>
          </cell>
          <cell r="G147" t="str">
            <v>EA.</v>
          </cell>
        </row>
        <row r="148">
          <cell r="C148">
            <v>268</v>
          </cell>
          <cell r="D148" t="str">
            <v>-  RCB 1P 40A., 10KA.,10mA. W./ENCLOSURE</v>
          </cell>
          <cell r="E148">
            <v>3080</v>
          </cell>
          <cell r="F148">
            <v>150</v>
          </cell>
          <cell r="G148" t="str">
            <v>EA.</v>
          </cell>
        </row>
        <row r="149">
          <cell r="C149">
            <v>269</v>
          </cell>
          <cell r="D149" t="str">
            <v>-  RCB 1P 50A., 10KA.,10mA. W./ENCLOSURE</v>
          </cell>
          <cell r="E149">
            <v>3080</v>
          </cell>
          <cell r="F149">
            <v>150</v>
          </cell>
          <cell r="G149" t="str">
            <v>EA.</v>
          </cell>
        </row>
        <row r="150">
          <cell r="C150">
            <v>270</v>
          </cell>
          <cell r="D150" t="str">
            <v>-  RCB 1P 60A., 10KA.,10mA. W./ENCLOSURE</v>
          </cell>
          <cell r="E150">
            <v>3080</v>
          </cell>
          <cell r="F150">
            <v>150</v>
          </cell>
          <cell r="G150" t="str">
            <v>EA.</v>
          </cell>
        </row>
        <row r="151">
          <cell r="C151">
            <v>271</v>
          </cell>
          <cell r="D151" t="str">
            <v>-  MAGNETIC CONTACTOR 3P 6A. AC3</v>
          </cell>
          <cell r="E151">
            <v>530</v>
          </cell>
          <cell r="F151">
            <v>100</v>
          </cell>
          <cell r="G151" t="str">
            <v>EA.</v>
          </cell>
        </row>
        <row r="152">
          <cell r="C152">
            <v>272</v>
          </cell>
          <cell r="D152" t="str">
            <v>-  MAGNETIC CONTACTOR 3P 9A. AC3</v>
          </cell>
          <cell r="E152">
            <v>580</v>
          </cell>
          <cell r="F152">
            <v>100</v>
          </cell>
          <cell r="G152" t="str">
            <v>EA.</v>
          </cell>
        </row>
        <row r="153">
          <cell r="C153">
            <v>273</v>
          </cell>
          <cell r="D153" t="str">
            <v>-  MAGNETIC CONTACTOR 3P 12A. AC3</v>
          </cell>
          <cell r="E153">
            <v>660</v>
          </cell>
          <cell r="F153">
            <v>100</v>
          </cell>
          <cell r="G153" t="str">
            <v>EA.</v>
          </cell>
        </row>
        <row r="154">
          <cell r="C154">
            <v>274</v>
          </cell>
          <cell r="D154" t="str">
            <v>-  MAGNETIC CONTACTOR 3P 18A. AC3</v>
          </cell>
          <cell r="E154">
            <v>930</v>
          </cell>
          <cell r="F154">
            <v>100</v>
          </cell>
          <cell r="G154" t="str">
            <v>EA.</v>
          </cell>
        </row>
        <row r="155">
          <cell r="C155">
            <v>275</v>
          </cell>
          <cell r="D155" t="str">
            <v>-  MAGNETIC CONTACTOR 3P 25A. AC3</v>
          </cell>
          <cell r="E155">
            <v>1150</v>
          </cell>
          <cell r="F155">
            <v>100</v>
          </cell>
          <cell r="G155" t="str">
            <v>EA.</v>
          </cell>
        </row>
        <row r="156">
          <cell r="C156">
            <v>276</v>
          </cell>
          <cell r="D156" t="str">
            <v>-  MAGNETIC CONTACTOR 3P 32A. AC3</v>
          </cell>
          <cell r="E156">
            <v>1550</v>
          </cell>
          <cell r="F156">
            <v>100</v>
          </cell>
          <cell r="G156" t="str">
            <v>EA.</v>
          </cell>
        </row>
        <row r="157">
          <cell r="C157">
            <v>277</v>
          </cell>
          <cell r="D157" t="str">
            <v>-  MAGNETIC CONTACTOR 3P 40A. AC3</v>
          </cell>
          <cell r="E157">
            <v>2100</v>
          </cell>
          <cell r="F157">
            <v>100</v>
          </cell>
          <cell r="G157" t="str">
            <v>EA.</v>
          </cell>
        </row>
        <row r="158">
          <cell r="C158">
            <v>278</v>
          </cell>
          <cell r="D158" t="str">
            <v>-  MAGNETIC CONTACTOR 3P 50A. AC3</v>
          </cell>
          <cell r="E158">
            <v>2700</v>
          </cell>
          <cell r="F158">
            <v>100</v>
          </cell>
          <cell r="G158" t="str">
            <v>EA.</v>
          </cell>
        </row>
        <row r="159">
          <cell r="C159">
            <v>279</v>
          </cell>
          <cell r="D159" t="str">
            <v>-  MAGNETIC CONTACTOR 3P 65A. AC3</v>
          </cell>
          <cell r="E159">
            <v>3100</v>
          </cell>
          <cell r="F159">
            <v>150</v>
          </cell>
          <cell r="G159" t="str">
            <v>EA.</v>
          </cell>
        </row>
        <row r="160">
          <cell r="C160">
            <v>280</v>
          </cell>
          <cell r="D160" t="str">
            <v>-  MAGNETIC CONTACTOR 3P 80A. AC3</v>
          </cell>
          <cell r="E160">
            <v>3830</v>
          </cell>
          <cell r="F160">
            <v>200</v>
          </cell>
          <cell r="G160" t="str">
            <v>EA.</v>
          </cell>
        </row>
        <row r="161">
          <cell r="C161">
            <v>281</v>
          </cell>
          <cell r="D161" t="str">
            <v>-  MAGNETIC CONTACTOR 3P 100A. AC3</v>
          </cell>
          <cell r="E161">
            <v>4480</v>
          </cell>
          <cell r="F161">
            <v>200</v>
          </cell>
          <cell r="G161" t="str">
            <v>EA.</v>
          </cell>
        </row>
        <row r="162">
          <cell r="C162">
            <v>282</v>
          </cell>
          <cell r="D162" t="str">
            <v>-  MAGNETIC CONTACTOR 3P 110A. AC3</v>
          </cell>
          <cell r="E162">
            <v>5120</v>
          </cell>
          <cell r="F162">
            <v>200</v>
          </cell>
          <cell r="G162" t="str">
            <v>EA.</v>
          </cell>
        </row>
        <row r="163">
          <cell r="C163">
            <v>283</v>
          </cell>
          <cell r="D163" t="str">
            <v>-  MAGNETIC CONTACTOR 3P 150A. AC3</v>
          </cell>
          <cell r="E163">
            <v>9200</v>
          </cell>
          <cell r="F163">
            <v>200</v>
          </cell>
          <cell r="G163" t="str">
            <v>EA.</v>
          </cell>
        </row>
        <row r="164">
          <cell r="C164">
            <v>284</v>
          </cell>
          <cell r="D164" t="str">
            <v>-  MAGNETIC CONTACTOR 3P 185A. AC3</v>
          </cell>
          <cell r="E164">
            <v>10920</v>
          </cell>
          <cell r="F164">
            <v>300</v>
          </cell>
          <cell r="G164" t="str">
            <v>EA.</v>
          </cell>
        </row>
        <row r="165">
          <cell r="C165">
            <v>285</v>
          </cell>
          <cell r="D165" t="str">
            <v>-  MAGNETIC CONTACTOR 3P 200A. AC3</v>
          </cell>
          <cell r="E165">
            <v>12500</v>
          </cell>
          <cell r="F165">
            <v>300</v>
          </cell>
          <cell r="G165" t="str">
            <v>EA.</v>
          </cell>
        </row>
        <row r="166">
          <cell r="C166">
            <v>286</v>
          </cell>
          <cell r="D166" t="str">
            <v>-  MAGNETIC CONTACTOR 3P 265A. AC3</v>
          </cell>
          <cell r="E166">
            <v>16500</v>
          </cell>
          <cell r="F166">
            <v>300</v>
          </cell>
          <cell r="G166" t="str">
            <v>EA.</v>
          </cell>
        </row>
        <row r="167">
          <cell r="C167">
            <v>287</v>
          </cell>
          <cell r="D167" t="str">
            <v>-  MAGNETIC CONTACTOR 3P 300A. AC3</v>
          </cell>
          <cell r="E167">
            <v>22000</v>
          </cell>
          <cell r="F167">
            <v>400</v>
          </cell>
          <cell r="G167" t="str">
            <v>EA.</v>
          </cell>
        </row>
        <row r="168">
          <cell r="C168">
            <v>288</v>
          </cell>
          <cell r="D168" t="str">
            <v>-  MAGNETIC CONTACTOR 3P 410A. AC3</v>
          </cell>
          <cell r="E168">
            <v>24900</v>
          </cell>
          <cell r="F168">
            <v>400</v>
          </cell>
          <cell r="G168" t="str">
            <v>EA.</v>
          </cell>
        </row>
        <row r="169">
          <cell r="C169">
            <v>289</v>
          </cell>
          <cell r="D169" t="str">
            <v>-  MAGNETIC CONTACTOR 3P 450A. AC3</v>
          </cell>
          <cell r="E169">
            <v>28460</v>
          </cell>
          <cell r="F169">
            <v>400</v>
          </cell>
          <cell r="G169" t="str">
            <v>EA.</v>
          </cell>
        </row>
        <row r="170">
          <cell r="C170">
            <v>290</v>
          </cell>
          <cell r="D170" t="str">
            <v>-  MAGNETIC CONTACTOR 3P 630A. AC3</v>
          </cell>
          <cell r="E170">
            <v>35240</v>
          </cell>
          <cell r="F170">
            <v>500</v>
          </cell>
          <cell r="G170" t="str">
            <v>EA.</v>
          </cell>
        </row>
        <row r="171">
          <cell r="C171">
            <v>291</v>
          </cell>
          <cell r="D171" t="str">
            <v>-  MAGNETIC CONTACTOR 3P 800A. AC3</v>
          </cell>
          <cell r="E171">
            <v>52780</v>
          </cell>
          <cell r="F171">
            <v>700</v>
          </cell>
          <cell r="G171" t="str">
            <v>EA.</v>
          </cell>
        </row>
        <row r="172">
          <cell r="C172">
            <v>292</v>
          </cell>
          <cell r="D172" t="str">
            <v>-  MAGNETIC CONTACTOR 3P 1,000A. AC3</v>
          </cell>
          <cell r="E172">
            <v>111700</v>
          </cell>
          <cell r="F172">
            <v>1000</v>
          </cell>
          <cell r="G172" t="str">
            <v>EA.</v>
          </cell>
        </row>
        <row r="173">
          <cell r="C173">
            <v>514</v>
          </cell>
          <cell r="D173" t="str">
            <v>SPACE</v>
          </cell>
          <cell r="E173">
            <v>4800</v>
          </cell>
          <cell r="F173">
            <v>1000</v>
          </cell>
          <cell r="G173" t="str">
            <v>SET</v>
          </cell>
        </row>
        <row r="174">
          <cell r="C174">
            <v>296</v>
          </cell>
          <cell r="D174" t="str">
            <v>-  6A. CONTROL RELAY</v>
          </cell>
          <cell r="E174">
            <v>1000</v>
          </cell>
          <cell r="F174">
            <v>100</v>
          </cell>
          <cell r="G174" t="str">
            <v>EA.</v>
          </cell>
        </row>
        <row r="175">
          <cell r="C175">
            <v>516</v>
          </cell>
          <cell r="D175" t="str">
            <v>-  BAR CODE READER</v>
          </cell>
          <cell r="E175">
            <v>7000</v>
          </cell>
          <cell r="F175">
            <v>1000</v>
          </cell>
          <cell r="G175" t="str">
            <v>SET</v>
          </cell>
        </row>
        <row r="176">
          <cell r="C176">
            <v>517</v>
          </cell>
          <cell r="D176" t="str">
            <v>-  SMART CARD READER WITH KEY PAD &amp; DISPLAY</v>
          </cell>
          <cell r="E176" t="str">
            <v>(ON REQ)</v>
          </cell>
          <cell r="F176">
            <v>0</v>
          </cell>
          <cell r="G176" t="str">
            <v>SET</v>
          </cell>
        </row>
        <row r="177">
          <cell r="C177">
            <v>840</v>
          </cell>
          <cell r="D177" t="str">
            <v>SPACE</v>
          </cell>
          <cell r="E177">
            <v>25000</v>
          </cell>
          <cell r="F177">
            <v>800</v>
          </cell>
          <cell r="G177" t="str">
            <v>M.</v>
          </cell>
        </row>
        <row r="178">
          <cell r="C178">
            <v>841</v>
          </cell>
          <cell r="D178" t="str">
            <v>CARD</v>
          </cell>
          <cell r="E178">
            <v>28000</v>
          </cell>
          <cell r="F178">
            <v>800</v>
          </cell>
          <cell r="G178" t="str">
            <v>M.</v>
          </cell>
        </row>
        <row r="179">
          <cell r="C179">
            <v>521</v>
          </cell>
          <cell r="D179" t="str">
            <v>-  CUSTOMER LOGO CARD</v>
          </cell>
          <cell r="E179">
            <v>100</v>
          </cell>
          <cell r="F179">
            <v>0</v>
          </cell>
          <cell r="G179" t="str">
            <v>SET</v>
          </cell>
        </row>
        <row r="180">
          <cell r="C180">
            <v>843</v>
          </cell>
          <cell r="D180" t="str">
            <v>SPACE</v>
          </cell>
          <cell r="E180">
            <v>50000</v>
          </cell>
          <cell r="F180">
            <v>1000</v>
          </cell>
          <cell r="G180" t="str">
            <v>M.</v>
          </cell>
        </row>
        <row r="181">
          <cell r="C181">
            <v>844</v>
          </cell>
          <cell r="D181" t="str">
            <v>COMMUNICATOR</v>
          </cell>
          <cell r="E181">
            <v>67000</v>
          </cell>
          <cell r="F181">
            <v>1000</v>
          </cell>
          <cell r="G181" t="str">
            <v>M.</v>
          </cell>
        </row>
        <row r="182">
          <cell r="C182">
            <v>526</v>
          </cell>
          <cell r="D182" t="str">
            <v>-  SERIAL COMMUNICATOR LINK UP TO 16 CONTROLLERS</v>
          </cell>
          <cell r="E182">
            <v>15000</v>
          </cell>
          <cell r="F182">
            <v>5000</v>
          </cell>
          <cell r="G182" t="str">
            <v>SET</v>
          </cell>
        </row>
        <row r="183">
          <cell r="C183">
            <v>527</v>
          </cell>
          <cell r="D183" t="str">
            <v>-  PARALLEL COMMUNICATOR LINK UP TO 16 CONTROLLERS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-  INTELLIGENT COMMUNICATOR LINK UP TO 64 CONTROLLERS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851</v>
          </cell>
          <cell r="D185" t="str">
            <v>SOFTWARE MANAGEMENT</v>
          </cell>
          <cell r="E185">
            <v>13000</v>
          </cell>
          <cell r="F185">
            <v>500</v>
          </cell>
          <cell r="G185" t="str">
            <v>M.</v>
          </cell>
        </row>
        <row r="186">
          <cell r="C186">
            <v>852</v>
          </cell>
          <cell r="D186" t="str">
            <v>-  16 CONTROLLERS ACCESS CONTROL MANAGEMENT</v>
          </cell>
          <cell r="E186">
            <v>22000</v>
          </cell>
          <cell r="F186">
            <v>10000</v>
          </cell>
          <cell r="G186" t="str">
            <v>SET</v>
          </cell>
        </row>
        <row r="187">
          <cell r="C187">
            <v>853</v>
          </cell>
          <cell r="D187" t="str">
            <v>-  64 CONTROLLERS ACCESS CONTROL MANAGEMENT</v>
          </cell>
          <cell r="E187">
            <v>35000</v>
          </cell>
          <cell r="F187">
            <v>15000</v>
          </cell>
          <cell r="G187" t="str">
            <v>SET</v>
          </cell>
        </row>
        <row r="188">
          <cell r="C188">
            <v>854</v>
          </cell>
          <cell r="D188" t="str">
            <v>-  AL. RISER BUSDUCT 1,350 A.</v>
          </cell>
          <cell r="E188">
            <v>15000</v>
          </cell>
          <cell r="F188">
            <v>700</v>
          </cell>
          <cell r="G188" t="str">
            <v>M.</v>
          </cell>
        </row>
        <row r="189">
          <cell r="C189">
            <v>855</v>
          </cell>
          <cell r="D189" t="str">
            <v>-  AL. RISER BUSDUCT 1,600 A.</v>
          </cell>
          <cell r="E189">
            <v>16000</v>
          </cell>
          <cell r="F189">
            <v>800</v>
          </cell>
          <cell r="G189" t="str">
            <v>M.</v>
          </cell>
        </row>
        <row r="190">
          <cell r="C190">
            <v>856</v>
          </cell>
          <cell r="D190" t="str">
            <v>-  AL. RISER BUSDUCT 2,000 A.</v>
          </cell>
          <cell r="E190">
            <v>25000</v>
          </cell>
          <cell r="F190">
            <v>800</v>
          </cell>
          <cell r="G190" t="str">
            <v>M.</v>
          </cell>
        </row>
        <row r="191">
          <cell r="C191">
            <v>857</v>
          </cell>
          <cell r="D191" t="str">
            <v>-  AL. RISER BUSDUCT 2,500 A.</v>
          </cell>
          <cell r="E191">
            <v>26600</v>
          </cell>
          <cell r="F191">
            <v>1000</v>
          </cell>
          <cell r="G191" t="str">
            <v>M.</v>
          </cell>
        </row>
        <row r="192">
          <cell r="C192">
            <v>858</v>
          </cell>
          <cell r="D192" t="str">
            <v>-  AL. RISER BUSDUCT 3,000 A.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-  AL. RISER BUSDUCT 4,000 A.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860</v>
          </cell>
          <cell r="D194" t="str">
            <v>-  CU. RISER BUSDUCT 800 A.</v>
          </cell>
          <cell r="E194">
            <v>16000</v>
          </cell>
          <cell r="F194">
            <v>500</v>
          </cell>
          <cell r="G194" t="str">
            <v>M.</v>
          </cell>
        </row>
        <row r="195">
          <cell r="C195">
            <v>861</v>
          </cell>
          <cell r="D195" t="str">
            <v>-  CU. RISER BUSDUCT 1,000 A.</v>
          </cell>
          <cell r="E195">
            <v>17300</v>
          </cell>
          <cell r="F195">
            <v>500</v>
          </cell>
          <cell r="G195" t="str">
            <v>M.</v>
          </cell>
        </row>
        <row r="196">
          <cell r="C196">
            <v>862</v>
          </cell>
          <cell r="D196" t="str">
            <v>-  CU. RISER BUSDUCT 1,200 A.</v>
          </cell>
          <cell r="E196">
            <v>19300</v>
          </cell>
          <cell r="F196">
            <v>700</v>
          </cell>
          <cell r="G196" t="str">
            <v>M.</v>
          </cell>
        </row>
        <row r="197">
          <cell r="C197">
            <v>863</v>
          </cell>
          <cell r="D197" t="str">
            <v>-  CU. RISER BUSDUCT 1,350 A.</v>
          </cell>
          <cell r="E197">
            <v>21000</v>
          </cell>
          <cell r="F197">
            <v>700</v>
          </cell>
          <cell r="G197" t="str">
            <v>M.</v>
          </cell>
        </row>
        <row r="198">
          <cell r="C198">
            <v>864</v>
          </cell>
          <cell r="D198" t="str">
            <v>-  CU. RISER BUSDUCT 1,600 A.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-  CU. RISER BUSDUCT 2,000 A.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866</v>
          </cell>
          <cell r="D200" t="str">
            <v>-  CU. RISER BUSDUCT 2,500 A.</v>
          </cell>
          <cell r="E200">
            <v>40000</v>
          </cell>
          <cell r="F200">
            <v>1000</v>
          </cell>
          <cell r="G200" t="str">
            <v>M.</v>
          </cell>
        </row>
        <row r="201">
          <cell r="C201">
            <v>867</v>
          </cell>
          <cell r="D201" t="str">
            <v>-  CU. RISER BUSDUCT 3,000 A.</v>
          </cell>
          <cell r="E201">
            <v>46600</v>
          </cell>
          <cell r="F201">
            <v>1000</v>
          </cell>
          <cell r="G201" t="str">
            <v>M.</v>
          </cell>
        </row>
        <row r="202">
          <cell r="C202">
            <v>868</v>
          </cell>
          <cell r="D202" t="str">
            <v>-  CU. RISER BUSDUCT 4,000 A.</v>
          </cell>
          <cell r="E202">
            <v>60000</v>
          </cell>
          <cell r="F202">
            <v>1000</v>
          </cell>
          <cell r="G202" t="str">
            <v>M.</v>
          </cell>
        </row>
        <row r="203">
          <cell r="C203">
            <v>869</v>
          </cell>
          <cell r="D203" t="str">
            <v>-  CU. RISER BUSDUCT 5,000 A.</v>
          </cell>
          <cell r="E203">
            <v>67000</v>
          </cell>
          <cell r="F203">
            <v>1000</v>
          </cell>
          <cell r="G203" t="str">
            <v>M.</v>
          </cell>
        </row>
        <row r="204">
          <cell r="C204">
            <v>355</v>
          </cell>
          <cell r="D204" t="str">
            <v>SPACE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OUTDOOR BUSDUCT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871</v>
          </cell>
          <cell r="D206" t="str">
            <v>-  AL. BUSDUCT (OUTDOOR) 800 A.</v>
          </cell>
          <cell r="E206">
            <v>18000</v>
          </cell>
          <cell r="F206">
            <v>500</v>
          </cell>
          <cell r="G206" t="str">
            <v>M.</v>
          </cell>
        </row>
        <row r="207">
          <cell r="C207">
            <v>872</v>
          </cell>
          <cell r="D207" t="str">
            <v>-  AL. BUSDUCT (OUTDOOR) 1,000 A.</v>
          </cell>
          <cell r="E207">
            <v>20000</v>
          </cell>
          <cell r="F207">
            <v>500</v>
          </cell>
          <cell r="G207" t="str">
            <v>M.</v>
          </cell>
        </row>
        <row r="208">
          <cell r="C208">
            <v>873</v>
          </cell>
          <cell r="D208" t="str">
            <v>-  AL. BUSDUCT (OUTDOOR) 1,200 A.</v>
          </cell>
          <cell r="E208">
            <v>21000</v>
          </cell>
          <cell r="F208">
            <v>700</v>
          </cell>
          <cell r="G208" t="str">
            <v>M.</v>
          </cell>
        </row>
        <row r="209">
          <cell r="C209">
            <v>874</v>
          </cell>
          <cell r="D209" t="str">
            <v>-  AL. BUSDUCT (OUTDOOR) 1,350 A.</v>
          </cell>
          <cell r="E209">
            <v>22000</v>
          </cell>
          <cell r="F209">
            <v>700</v>
          </cell>
          <cell r="G209" t="str">
            <v>M.</v>
          </cell>
        </row>
        <row r="210">
          <cell r="C210">
            <v>875</v>
          </cell>
          <cell r="D210" t="str">
            <v>-  AL. BUSDUCT (OUTDOOR) 1,600 A.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876</v>
          </cell>
          <cell r="D211" t="str">
            <v>-  AL. BUSDUCT (OUTDOOR) 2,000 A.</v>
          </cell>
          <cell r="E211">
            <v>30000</v>
          </cell>
          <cell r="F211">
            <v>800</v>
          </cell>
          <cell r="G211" t="str">
            <v>M.</v>
          </cell>
        </row>
        <row r="212">
          <cell r="C212">
            <v>877</v>
          </cell>
          <cell r="D212" t="str">
            <v>-  AL. BUSDUCT (OUTDOOR) 2,500 A.</v>
          </cell>
          <cell r="E212">
            <v>33000</v>
          </cell>
          <cell r="F212">
            <v>1000</v>
          </cell>
          <cell r="G212" t="str">
            <v>M.</v>
          </cell>
        </row>
        <row r="213">
          <cell r="C213">
            <v>878</v>
          </cell>
          <cell r="D213" t="str">
            <v>-  AL. BUSDUCT (OUTDOOR) 3,000 A.</v>
          </cell>
          <cell r="E213">
            <v>40000</v>
          </cell>
          <cell r="F213">
            <v>1000</v>
          </cell>
          <cell r="G213" t="str">
            <v>M.</v>
          </cell>
        </row>
        <row r="214">
          <cell r="C214">
            <v>879</v>
          </cell>
          <cell r="D214" t="str">
            <v>-  AL. BUSDUCT (OUTDOOR) 4,000 A.</v>
          </cell>
          <cell r="E214">
            <v>53000</v>
          </cell>
          <cell r="F214">
            <v>1000</v>
          </cell>
          <cell r="G214" t="str">
            <v>M.</v>
          </cell>
        </row>
        <row r="215">
          <cell r="C215">
            <v>880</v>
          </cell>
          <cell r="D215" t="str">
            <v>-  CU BUSDUCT (OUTDOOR) 800 A.</v>
          </cell>
          <cell r="E215">
            <v>22000</v>
          </cell>
          <cell r="F215">
            <v>500</v>
          </cell>
          <cell r="G215" t="str">
            <v>M.</v>
          </cell>
        </row>
        <row r="216">
          <cell r="C216">
            <v>881</v>
          </cell>
          <cell r="D216" t="str">
            <v>-  CU. BUSDUCT (OUTDOOR) 1,000 A.</v>
          </cell>
          <cell r="E216">
            <v>24000</v>
          </cell>
          <cell r="F216">
            <v>500</v>
          </cell>
          <cell r="G216" t="str">
            <v>M.</v>
          </cell>
        </row>
        <row r="217">
          <cell r="C217">
            <v>882</v>
          </cell>
          <cell r="D217" t="str">
            <v>-  CU. BUSDUCT (OUTDOOR) 1,200 A.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-  CU. BUSDUCT (OUTDOOR) 1,350 A.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884</v>
          </cell>
          <cell r="D219" t="str">
            <v>-  CU. BUSDUCT (OUTDOOR) 1,600 A.</v>
          </cell>
          <cell r="E219">
            <v>32000</v>
          </cell>
          <cell r="F219">
            <v>800</v>
          </cell>
          <cell r="G219" t="str">
            <v>M.</v>
          </cell>
        </row>
        <row r="220">
          <cell r="C220">
            <v>885</v>
          </cell>
          <cell r="D220" t="str">
            <v>-  CU. BUSDUCT (OUTDOOR) 2,000 A.</v>
          </cell>
          <cell r="E220">
            <v>33000</v>
          </cell>
          <cell r="F220">
            <v>800</v>
          </cell>
          <cell r="G220" t="str">
            <v>M.</v>
          </cell>
        </row>
        <row r="221">
          <cell r="C221">
            <v>886</v>
          </cell>
          <cell r="D221" t="str">
            <v>-  CU. BUSDUCT (OUTDOOR) 2,500 A.</v>
          </cell>
          <cell r="E221">
            <v>50000</v>
          </cell>
          <cell r="F221">
            <v>1000</v>
          </cell>
          <cell r="G221" t="str">
            <v>M.</v>
          </cell>
        </row>
        <row r="222">
          <cell r="C222">
            <v>887</v>
          </cell>
          <cell r="D222" t="str">
            <v>-  CU. BUSDUCT (OUTDOOR) 3,000 A.</v>
          </cell>
          <cell r="E222">
            <v>58000</v>
          </cell>
          <cell r="F222">
            <v>1000</v>
          </cell>
          <cell r="G222" t="str">
            <v>M.</v>
          </cell>
        </row>
        <row r="223">
          <cell r="C223">
            <v>888</v>
          </cell>
          <cell r="D223" t="str">
            <v>-  CU. BUSDUCT (OUTDOOR) 4,000 A.</v>
          </cell>
          <cell r="E223">
            <v>67000</v>
          </cell>
          <cell r="F223">
            <v>1000</v>
          </cell>
          <cell r="G223" t="str">
            <v>M.</v>
          </cell>
        </row>
        <row r="224">
          <cell r="C224">
            <v>889</v>
          </cell>
          <cell r="D224" t="str">
            <v>-  CU. BUSDUCT (OUTDOOR) 5,000 A.</v>
          </cell>
          <cell r="E224">
            <v>80000</v>
          </cell>
          <cell r="F224">
            <v>1000</v>
          </cell>
          <cell r="G224" t="str">
            <v>M.</v>
          </cell>
        </row>
        <row r="225">
          <cell r="C225">
            <v>376</v>
          </cell>
          <cell r="D225" t="str">
            <v>SPACE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4" refreshError="1"/>
      <sheetData sheetId="5" refreshError="1"/>
      <sheetData sheetId="6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MATV, CCTV, SOUND, LIGHTING CONTROL, ACCESS CONTROL</v>
          </cell>
        </row>
        <row r="6">
          <cell r="C6">
            <v>1</v>
          </cell>
          <cell r="D6" t="str">
            <v>AND LIGHTNING PROTECTION</v>
          </cell>
        </row>
        <row r="7">
          <cell r="C7">
            <v>1</v>
          </cell>
          <cell r="D7" t="str">
            <v>HEAD END SET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MULTIBAND AMPLIFIER</v>
          </cell>
          <cell r="E8">
            <v>5000</v>
          </cell>
          <cell r="F8">
            <v>0</v>
          </cell>
          <cell r="G8" t="str">
            <v>EA.</v>
          </cell>
        </row>
        <row r="9">
          <cell r="C9">
            <v>102</v>
          </cell>
          <cell r="D9" t="str">
            <v>-  CHANNEL AMPLIFIER</v>
          </cell>
          <cell r="E9">
            <v>7000</v>
          </cell>
          <cell r="F9">
            <v>0</v>
          </cell>
          <cell r="G9" t="str">
            <v>EA.</v>
          </cell>
        </row>
        <row r="10">
          <cell r="C10">
            <v>103</v>
          </cell>
          <cell r="D10" t="str">
            <v>-  BOOSTER</v>
          </cell>
          <cell r="E10">
            <v>3000</v>
          </cell>
          <cell r="F10">
            <v>0</v>
          </cell>
          <cell r="G10" t="str">
            <v>EA.</v>
          </cell>
        </row>
        <row r="11">
          <cell r="C11">
            <v>104</v>
          </cell>
          <cell r="D11" t="str">
            <v>-  RECEIVER AND MODULATOR</v>
          </cell>
          <cell r="E11">
            <v>16000</v>
          </cell>
          <cell r="F11">
            <v>0</v>
          </cell>
          <cell r="G11" t="str">
            <v>EA.</v>
          </cell>
        </row>
        <row r="12">
          <cell r="C12">
            <v>105</v>
          </cell>
          <cell r="D12" t="str">
            <v>-  POWER SUPPLY</v>
          </cell>
          <cell r="E12">
            <v>5000</v>
          </cell>
          <cell r="F12">
            <v>0</v>
          </cell>
          <cell r="G12" t="str">
            <v>EA.</v>
          </cell>
        </row>
        <row r="13">
          <cell r="C13">
            <v>106</v>
          </cell>
          <cell r="D13" t="str">
            <v>-  MIXER</v>
          </cell>
          <cell r="E13">
            <v>5000</v>
          </cell>
          <cell r="F13">
            <v>0</v>
          </cell>
          <cell r="G13" t="str">
            <v>EA.</v>
          </cell>
        </row>
        <row r="14">
          <cell r="C14">
            <v>107</v>
          </cell>
          <cell r="D14" t="str">
            <v>-  2-WAY SPLITTER</v>
          </cell>
          <cell r="E14">
            <v>400</v>
          </cell>
          <cell r="F14">
            <v>100</v>
          </cell>
          <cell r="G14" t="str">
            <v>EA.</v>
          </cell>
        </row>
        <row r="15">
          <cell r="C15">
            <v>108</v>
          </cell>
          <cell r="D15" t="str">
            <v>-  3-WAY SPLITTER</v>
          </cell>
          <cell r="E15">
            <v>600</v>
          </cell>
          <cell r="F15">
            <v>100</v>
          </cell>
          <cell r="G15" t="str">
            <v>EA.</v>
          </cell>
        </row>
        <row r="16">
          <cell r="C16">
            <v>109</v>
          </cell>
          <cell r="D16" t="str">
            <v>-  4-WAY SPLITTER</v>
          </cell>
          <cell r="E16">
            <v>800</v>
          </cell>
          <cell r="F16">
            <v>100</v>
          </cell>
          <cell r="G16" t="str">
            <v>EA.</v>
          </cell>
        </row>
        <row r="17">
          <cell r="C17">
            <v>110</v>
          </cell>
          <cell r="D17" t="str">
            <v>-  6-WAY SPLITTER</v>
          </cell>
          <cell r="E17">
            <v>600</v>
          </cell>
          <cell r="F17">
            <v>150</v>
          </cell>
          <cell r="G17" t="str">
            <v>EA.</v>
          </cell>
        </row>
        <row r="18">
          <cell r="C18">
            <v>111</v>
          </cell>
          <cell r="D18" t="str">
            <v>-  2-WAY TAP-OFF</v>
          </cell>
          <cell r="E18">
            <v>600</v>
          </cell>
          <cell r="F18">
            <v>100</v>
          </cell>
          <cell r="G18" t="str">
            <v>EA.</v>
          </cell>
        </row>
        <row r="19">
          <cell r="C19">
            <v>112</v>
          </cell>
          <cell r="D19" t="str">
            <v>-  3-WAY TAP-OFF</v>
          </cell>
          <cell r="E19">
            <v>800</v>
          </cell>
          <cell r="F19">
            <v>100</v>
          </cell>
          <cell r="G19" t="str">
            <v>EA.</v>
          </cell>
        </row>
        <row r="20">
          <cell r="C20">
            <v>113</v>
          </cell>
          <cell r="D20" t="str">
            <v>-  4-WAY TAP-OFF</v>
          </cell>
          <cell r="E20">
            <v>800</v>
          </cell>
          <cell r="F20">
            <v>150</v>
          </cell>
          <cell r="G20" t="str">
            <v>EA.</v>
          </cell>
        </row>
        <row r="21">
          <cell r="C21">
            <v>121</v>
          </cell>
          <cell r="D21" t="str">
            <v>SPACE</v>
          </cell>
          <cell r="E21">
            <v>34000</v>
          </cell>
          <cell r="F21">
            <v>0</v>
          </cell>
          <cell r="G21" t="str">
            <v>EA.</v>
          </cell>
        </row>
        <row r="22">
          <cell r="C22">
            <v>122</v>
          </cell>
          <cell r="D22" t="str">
            <v>ANTENNA AND SATTELLITE</v>
          </cell>
          <cell r="E22">
            <v>38000</v>
          </cell>
          <cell r="F22">
            <v>0</v>
          </cell>
          <cell r="G22" t="str">
            <v>EA.</v>
          </cell>
        </row>
        <row r="23">
          <cell r="C23">
            <v>121</v>
          </cell>
          <cell r="D23" t="str">
            <v>-  TV ANTENNA</v>
          </cell>
          <cell r="E23">
            <v>15000</v>
          </cell>
          <cell r="F23">
            <v>0</v>
          </cell>
          <cell r="G23" t="str">
            <v>SET</v>
          </cell>
        </row>
        <row r="24">
          <cell r="C24">
            <v>122</v>
          </cell>
          <cell r="D24" t="str">
            <v>-  TV AND FM ANTENNA</v>
          </cell>
          <cell r="E24">
            <v>16000</v>
          </cell>
          <cell r="F24">
            <v>0</v>
          </cell>
          <cell r="G24" t="str">
            <v>SET</v>
          </cell>
        </row>
        <row r="25">
          <cell r="C25">
            <v>123</v>
          </cell>
          <cell r="D25" t="str">
            <v>-  TV ANTENNA  (HOME USE)</v>
          </cell>
          <cell r="E25">
            <v>1500</v>
          </cell>
          <cell r="F25">
            <v>1000</v>
          </cell>
          <cell r="G25" t="str">
            <v>SET</v>
          </cell>
        </row>
        <row r="26">
          <cell r="C26">
            <v>124</v>
          </cell>
          <cell r="D26" t="str">
            <v>-  72 CM.DIGITAL SATELLITE DISH</v>
          </cell>
          <cell r="E26">
            <v>4000</v>
          </cell>
          <cell r="F26">
            <v>1000</v>
          </cell>
          <cell r="G26" t="str">
            <v>SET</v>
          </cell>
        </row>
        <row r="27">
          <cell r="C27">
            <v>125</v>
          </cell>
          <cell r="D27" t="str">
            <v>-  8" SATELLITE DISH</v>
          </cell>
          <cell r="E27">
            <v>24000</v>
          </cell>
          <cell r="F27">
            <v>5000</v>
          </cell>
          <cell r="G27" t="str">
            <v>SET</v>
          </cell>
        </row>
        <row r="28">
          <cell r="C28">
            <v>126</v>
          </cell>
          <cell r="D28" t="str">
            <v>-  10" SATELLITE DISH</v>
          </cell>
          <cell r="E28">
            <v>26000</v>
          </cell>
          <cell r="F28">
            <v>6000</v>
          </cell>
          <cell r="G28" t="str">
            <v>SET</v>
          </cell>
        </row>
        <row r="29">
          <cell r="C29">
            <v>135</v>
          </cell>
          <cell r="D29" t="str">
            <v>SPACE</v>
          </cell>
          <cell r="E29">
            <v>7000</v>
          </cell>
          <cell r="F29">
            <v>0</v>
          </cell>
          <cell r="G29" t="str">
            <v>EA.</v>
          </cell>
        </row>
        <row r="30">
          <cell r="C30">
            <v>136</v>
          </cell>
          <cell r="D30" t="str">
            <v>OUTLET AND CABLE</v>
          </cell>
          <cell r="E30">
            <v>8000</v>
          </cell>
          <cell r="F30">
            <v>0</v>
          </cell>
          <cell r="G30" t="str">
            <v>EA.</v>
          </cell>
        </row>
        <row r="31">
          <cell r="C31">
            <v>131</v>
          </cell>
          <cell r="D31" t="str">
            <v>-  TV OUTLET, PLASTIC PLATE</v>
          </cell>
          <cell r="E31">
            <v>160</v>
          </cell>
          <cell r="F31">
            <v>80</v>
          </cell>
          <cell r="G31" t="str">
            <v>SET</v>
          </cell>
        </row>
        <row r="32">
          <cell r="C32">
            <v>132</v>
          </cell>
          <cell r="D32" t="str">
            <v>-  TV AND FM OUTLET, PLASTIC PLATE</v>
          </cell>
          <cell r="E32">
            <v>280</v>
          </cell>
          <cell r="F32">
            <v>120</v>
          </cell>
          <cell r="G32" t="str">
            <v>SET</v>
          </cell>
        </row>
        <row r="33">
          <cell r="C33">
            <v>133</v>
          </cell>
          <cell r="D33" t="str">
            <v>-  TV OUTLET, ALUMINIUM PLATE</v>
          </cell>
          <cell r="E33">
            <v>190</v>
          </cell>
          <cell r="F33">
            <v>80</v>
          </cell>
          <cell r="G33" t="str">
            <v>SET</v>
          </cell>
        </row>
        <row r="34">
          <cell r="C34">
            <v>134</v>
          </cell>
          <cell r="D34" t="str">
            <v>-  TV AND FM OUTLET, ALUMINIUM PLATE</v>
          </cell>
          <cell r="E34">
            <v>310</v>
          </cell>
          <cell r="F34">
            <v>120</v>
          </cell>
          <cell r="G34" t="str">
            <v>SET</v>
          </cell>
        </row>
        <row r="35">
          <cell r="C35">
            <v>135</v>
          </cell>
          <cell r="D35" t="str">
            <v>-  TV OUTLET, STAINLESS PLATE</v>
          </cell>
          <cell r="E35">
            <v>205</v>
          </cell>
          <cell r="F35">
            <v>80</v>
          </cell>
          <cell r="G35" t="str">
            <v>SET</v>
          </cell>
        </row>
        <row r="36">
          <cell r="C36">
            <v>136</v>
          </cell>
          <cell r="D36" t="str">
            <v>-  TV AND FM OUTLET, STAINLESS PLATE</v>
          </cell>
          <cell r="E36">
            <v>325</v>
          </cell>
          <cell r="F36">
            <v>120</v>
          </cell>
          <cell r="G36" t="str">
            <v>SET</v>
          </cell>
        </row>
        <row r="37">
          <cell r="C37">
            <v>137</v>
          </cell>
          <cell r="D37" t="str">
            <v>-  TV OUTLET,  ALUMINIUM PLATE ; LIVING STYLE</v>
          </cell>
          <cell r="E37">
            <v>655</v>
          </cell>
          <cell r="F37">
            <v>80</v>
          </cell>
          <cell r="G37" t="str">
            <v>SET</v>
          </cell>
        </row>
        <row r="38">
          <cell r="C38">
            <v>138</v>
          </cell>
          <cell r="D38" t="str">
            <v>-  TV AND FM OUTLET,  ALUMINIUM PLATE ; LIVING STYLE</v>
          </cell>
          <cell r="E38">
            <v>1000</v>
          </cell>
          <cell r="F38">
            <v>120</v>
          </cell>
          <cell r="G38" t="str">
            <v>SET</v>
          </cell>
        </row>
        <row r="39">
          <cell r="C39">
            <v>139</v>
          </cell>
          <cell r="D39" t="str">
            <v>-  TV OUTLET,  CHROMIUM PLATE ; LIVING STYLE</v>
          </cell>
          <cell r="E39">
            <v>915</v>
          </cell>
          <cell r="F39">
            <v>80</v>
          </cell>
          <cell r="G39" t="str">
            <v>SET</v>
          </cell>
        </row>
        <row r="40">
          <cell r="C40">
            <v>140</v>
          </cell>
          <cell r="D40" t="str">
            <v>-  TV AND FM OUTLET,  CHROMIUM PLATE ; LIVING STYLE</v>
          </cell>
          <cell r="E40">
            <v>1300</v>
          </cell>
          <cell r="F40">
            <v>120</v>
          </cell>
          <cell r="G40" t="str">
            <v>SET</v>
          </cell>
        </row>
        <row r="41">
          <cell r="C41">
            <v>141</v>
          </cell>
          <cell r="D41" t="str">
            <v>-  RG59/U, 60% SHIELD</v>
          </cell>
          <cell r="E41">
            <v>13</v>
          </cell>
          <cell r="F41">
            <v>2</v>
          </cell>
          <cell r="G41" t="str">
            <v>M.</v>
          </cell>
        </row>
        <row r="42">
          <cell r="C42">
            <v>142</v>
          </cell>
          <cell r="D42" t="str">
            <v>-  RG6/U, 60% SHIELD</v>
          </cell>
          <cell r="E42">
            <v>15</v>
          </cell>
          <cell r="F42">
            <v>3</v>
          </cell>
          <cell r="G42" t="str">
            <v>M.</v>
          </cell>
        </row>
        <row r="43">
          <cell r="C43">
            <v>143</v>
          </cell>
          <cell r="D43" t="str">
            <v>-  RG11/U, 60% SHIELD</v>
          </cell>
          <cell r="E43">
            <v>31</v>
          </cell>
          <cell r="F43">
            <v>4</v>
          </cell>
          <cell r="G43" t="str">
            <v>M.</v>
          </cell>
        </row>
        <row r="44">
          <cell r="C44">
            <v>144</v>
          </cell>
          <cell r="D44" t="str">
            <v>-  RG59/U, 90% SHIELD</v>
          </cell>
          <cell r="E44">
            <v>15</v>
          </cell>
          <cell r="F44">
            <v>2</v>
          </cell>
          <cell r="G44" t="str">
            <v>M.</v>
          </cell>
        </row>
        <row r="45">
          <cell r="C45">
            <v>145</v>
          </cell>
          <cell r="D45" t="str">
            <v>-  RG6/U, 90% SHIELD</v>
          </cell>
          <cell r="E45">
            <v>22</v>
          </cell>
          <cell r="F45">
            <v>3</v>
          </cell>
          <cell r="G45" t="str">
            <v>M.</v>
          </cell>
        </row>
        <row r="46">
          <cell r="C46">
            <v>146</v>
          </cell>
          <cell r="D46" t="str">
            <v>-  RG11/U, 90% SHIELD</v>
          </cell>
          <cell r="E46">
            <v>33</v>
          </cell>
          <cell r="F46">
            <v>4</v>
          </cell>
          <cell r="G46" t="str">
            <v>M.</v>
          </cell>
        </row>
        <row r="47">
          <cell r="C47">
            <v>3</v>
          </cell>
          <cell r="D47" t="str">
            <v>SPACE</v>
          </cell>
          <cell r="E47">
            <v>80</v>
          </cell>
          <cell r="F47">
            <v>50</v>
          </cell>
          <cell r="G47" t="str">
            <v>SET</v>
          </cell>
        </row>
        <row r="48">
          <cell r="C48">
            <v>2</v>
          </cell>
          <cell r="D48" t="str">
            <v>CCTV SYSTEM</v>
          </cell>
          <cell r="E48">
            <v>167000</v>
          </cell>
          <cell r="F48">
            <v>0</v>
          </cell>
          <cell r="G48" t="str">
            <v>EA.</v>
          </cell>
        </row>
        <row r="49">
          <cell r="C49">
            <v>201</v>
          </cell>
          <cell r="D49" t="str">
            <v>-  VIDEO MULTIPLEXER 16 OUTPUT</v>
          </cell>
          <cell r="E49">
            <v>315000</v>
          </cell>
          <cell r="F49">
            <v>10000</v>
          </cell>
          <cell r="G49" t="str">
            <v>SET</v>
          </cell>
        </row>
        <row r="50">
          <cell r="C50">
            <v>202</v>
          </cell>
          <cell r="D50" t="str">
            <v>-  BLACK &amp; WHITE CCTV CAMERA FIXED LENS AUTO IRIS</v>
          </cell>
          <cell r="E50">
            <v>20000</v>
          </cell>
          <cell r="F50">
            <v>2000</v>
          </cell>
          <cell r="G50" t="str">
            <v>SET</v>
          </cell>
        </row>
        <row r="51">
          <cell r="C51">
            <v>203</v>
          </cell>
          <cell r="D51" t="str">
            <v>-  COLOUR CCTV CAMERA FIXED LENS AUTO IRIS</v>
          </cell>
          <cell r="E51">
            <v>27000</v>
          </cell>
          <cell r="F51">
            <v>2000</v>
          </cell>
          <cell r="G51" t="str">
            <v>SET</v>
          </cell>
        </row>
        <row r="52">
          <cell r="C52">
            <v>204</v>
          </cell>
          <cell r="D52" t="str">
            <v>-  TIME-LAPSE VCR</v>
          </cell>
          <cell r="E52">
            <v>54000</v>
          </cell>
          <cell r="F52">
            <v>3000</v>
          </cell>
          <cell r="G52" t="str">
            <v>SET</v>
          </cell>
        </row>
        <row r="53">
          <cell r="C53">
            <v>205</v>
          </cell>
          <cell r="D53" t="str">
            <v>-  CONTROL CONSOLE</v>
          </cell>
          <cell r="E53">
            <v>20000</v>
          </cell>
          <cell r="F53">
            <v>3000</v>
          </cell>
          <cell r="G53" t="str">
            <v>SET</v>
          </cell>
        </row>
        <row r="54">
          <cell r="C54">
            <v>307</v>
          </cell>
          <cell r="D54" t="str">
            <v>SPACE</v>
          </cell>
          <cell r="E54">
            <v>300000</v>
          </cell>
          <cell r="F54">
            <v>0</v>
          </cell>
          <cell r="G54" t="str">
            <v>EA.</v>
          </cell>
        </row>
        <row r="55">
          <cell r="C55">
            <v>211</v>
          </cell>
          <cell r="D55" t="str">
            <v>-  12" BLACK &amp; WHITE MONITOR</v>
          </cell>
          <cell r="E55">
            <v>10000</v>
          </cell>
          <cell r="F55">
            <v>1000</v>
          </cell>
          <cell r="G55" t="str">
            <v>SET</v>
          </cell>
        </row>
        <row r="56">
          <cell r="C56">
            <v>212</v>
          </cell>
          <cell r="D56" t="str">
            <v>-  14" BLACK &amp; WHITE MONITOR</v>
          </cell>
          <cell r="E56">
            <v>15000</v>
          </cell>
          <cell r="F56">
            <v>1000</v>
          </cell>
          <cell r="G56" t="str">
            <v>SET</v>
          </cell>
        </row>
        <row r="57">
          <cell r="C57">
            <v>213</v>
          </cell>
          <cell r="D57" t="str">
            <v>-  19" BLACK &amp; WHITE MONITOR</v>
          </cell>
          <cell r="E57">
            <v>20000</v>
          </cell>
          <cell r="F57">
            <v>1000</v>
          </cell>
          <cell r="G57" t="str">
            <v>SET</v>
          </cell>
        </row>
        <row r="58">
          <cell r="C58">
            <v>214</v>
          </cell>
          <cell r="D58" t="str">
            <v>-  12" COLOUR MONITOR</v>
          </cell>
          <cell r="E58">
            <v>25000</v>
          </cell>
          <cell r="F58">
            <v>1000</v>
          </cell>
          <cell r="G58" t="str">
            <v>SET</v>
          </cell>
        </row>
        <row r="59">
          <cell r="C59">
            <v>215</v>
          </cell>
          <cell r="D59" t="str">
            <v>-  14" COLOUR MONITOR</v>
          </cell>
          <cell r="E59">
            <v>40000</v>
          </cell>
          <cell r="F59">
            <v>1000</v>
          </cell>
          <cell r="G59" t="str">
            <v>SET</v>
          </cell>
        </row>
        <row r="60">
          <cell r="C60">
            <v>216</v>
          </cell>
          <cell r="D60" t="str">
            <v>-  20" COLOUR MONITOR</v>
          </cell>
          <cell r="E60">
            <v>70000</v>
          </cell>
          <cell r="F60">
            <v>1000</v>
          </cell>
          <cell r="G60" t="str">
            <v>SET</v>
          </cell>
        </row>
        <row r="61">
          <cell r="C61">
            <v>322</v>
          </cell>
          <cell r="D61" t="str">
            <v>-  ACB 3P 1,200/1,200 AF ; IC 65 KA.</v>
          </cell>
          <cell r="E61">
            <v>180000</v>
          </cell>
          <cell r="F61">
            <v>0</v>
          </cell>
          <cell r="G61" t="str">
            <v>EA.</v>
          </cell>
        </row>
        <row r="62">
          <cell r="C62">
            <v>3</v>
          </cell>
          <cell r="D62" t="str">
            <v>SOUND SYSTEM</v>
          </cell>
          <cell r="E62">
            <v>200000</v>
          </cell>
          <cell r="F62">
            <v>0</v>
          </cell>
          <cell r="G62" t="str">
            <v>EA.</v>
          </cell>
        </row>
        <row r="63">
          <cell r="C63">
            <v>301</v>
          </cell>
          <cell r="D63" t="str">
            <v>-  HAND-HELD MICROPHONE</v>
          </cell>
          <cell r="E63">
            <v>6570</v>
          </cell>
          <cell r="F63">
            <v>0</v>
          </cell>
          <cell r="G63" t="str">
            <v>SET</v>
          </cell>
        </row>
        <row r="64">
          <cell r="C64">
            <v>302</v>
          </cell>
          <cell r="D64" t="str">
            <v>-  TIE-CLIP MICROPHONE</v>
          </cell>
          <cell r="E64">
            <v>24600</v>
          </cell>
          <cell r="F64">
            <v>0</v>
          </cell>
          <cell r="G64" t="str">
            <v>SET</v>
          </cell>
        </row>
        <row r="65">
          <cell r="C65">
            <v>303</v>
          </cell>
          <cell r="D65" t="str">
            <v>-  TABLE-STAND MICROPHONE</v>
          </cell>
          <cell r="E65">
            <v>5830</v>
          </cell>
          <cell r="F65">
            <v>0</v>
          </cell>
          <cell r="G65" t="str">
            <v>SET</v>
          </cell>
        </row>
        <row r="66">
          <cell r="C66">
            <v>304</v>
          </cell>
          <cell r="D66" t="str">
            <v>-  TABLE-STAND MICROPHONE WITH REMOTE ZONE SELECTER</v>
          </cell>
          <cell r="E66">
            <v>17730</v>
          </cell>
          <cell r="F66">
            <v>0</v>
          </cell>
          <cell r="G66" t="str">
            <v>SET</v>
          </cell>
        </row>
        <row r="67">
          <cell r="C67">
            <v>305</v>
          </cell>
          <cell r="D67" t="str">
            <v>-  WIRELESS MICROPHONE</v>
          </cell>
          <cell r="E67">
            <v>18100</v>
          </cell>
          <cell r="F67">
            <v>0</v>
          </cell>
          <cell r="G67" t="str">
            <v>SET</v>
          </cell>
        </row>
        <row r="68">
          <cell r="C68">
            <v>306</v>
          </cell>
          <cell r="D68" t="str">
            <v>-  WIRELESS RECEIVER MODULE</v>
          </cell>
          <cell r="E68">
            <v>36000</v>
          </cell>
          <cell r="F68">
            <v>0</v>
          </cell>
          <cell r="G68" t="str">
            <v>SET</v>
          </cell>
        </row>
        <row r="69">
          <cell r="C69">
            <v>309</v>
          </cell>
          <cell r="D69" t="str">
            <v>-  8-CHANNEL SPACE AUDIO MIXER</v>
          </cell>
          <cell r="E69">
            <v>89960</v>
          </cell>
          <cell r="F69">
            <v>2000</v>
          </cell>
          <cell r="G69" t="str">
            <v>SET</v>
          </cell>
        </row>
        <row r="70">
          <cell r="C70">
            <v>310</v>
          </cell>
          <cell r="D70" t="str">
            <v>-  GRAPHIC EQUALIZER</v>
          </cell>
          <cell r="E70">
            <v>440000</v>
          </cell>
          <cell r="F70">
            <v>0</v>
          </cell>
          <cell r="G70" t="str">
            <v>SET</v>
          </cell>
        </row>
        <row r="71">
          <cell r="C71">
            <v>311</v>
          </cell>
          <cell r="D71" t="str">
            <v>-  100 W. (MAX.) POWER AMPLIFIER</v>
          </cell>
          <cell r="E71">
            <v>69200</v>
          </cell>
          <cell r="F71">
            <v>1000</v>
          </cell>
          <cell r="G71" t="str">
            <v>SET</v>
          </cell>
        </row>
        <row r="72">
          <cell r="C72">
            <v>312</v>
          </cell>
          <cell r="D72" t="str">
            <v>-  200 W. (MAX.) POWER AMPLIFIER</v>
          </cell>
          <cell r="E72">
            <v>108120</v>
          </cell>
          <cell r="F72">
            <v>1500</v>
          </cell>
          <cell r="G72" t="str">
            <v>SET</v>
          </cell>
        </row>
        <row r="73">
          <cell r="C73">
            <v>313</v>
          </cell>
          <cell r="D73" t="str">
            <v>-  300 W. (MAX.) POWER AMPLIFIER</v>
          </cell>
          <cell r="E73">
            <v>177320</v>
          </cell>
          <cell r="F73">
            <v>2000</v>
          </cell>
          <cell r="G73" t="str">
            <v>SET</v>
          </cell>
        </row>
        <row r="74">
          <cell r="C74">
            <v>314</v>
          </cell>
          <cell r="D74" t="str">
            <v>-  400 W. (MAX.) POWER AMPLIFIER</v>
          </cell>
          <cell r="E74">
            <v>178610</v>
          </cell>
          <cell r="F74">
            <v>2000</v>
          </cell>
          <cell r="G74" t="str">
            <v>SET</v>
          </cell>
        </row>
        <row r="75">
          <cell r="C75">
            <v>315</v>
          </cell>
          <cell r="D75" t="str">
            <v>-  500 W. (MAX.) POWER AMPLIFIER</v>
          </cell>
          <cell r="E75">
            <v>220000</v>
          </cell>
          <cell r="F75">
            <v>2500</v>
          </cell>
          <cell r="G75" t="str">
            <v>SET</v>
          </cell>
        </row>
        <row r="76">
          <cell r="C76">
            <v>316</v>
          </cell>
          <cell r="D76" t="str">
            <v>-  1x600 W. (MAX.) POWER AMPLIFIER</v>
          </cell>
          <cell r="E76">
            <v>250000</v>
          </cell>
          <cell r="F76">
            <v>3000</v>
          </cell>
          <cell r="G76" t="str">
            <v>SET</v>
          </cell>
        </row>
        <row r="77">
          <cell r="C77">
            <v>317</v>
          </cell>
          <cell r="D77" t="str">
            <v>-  PRE-AMPLIFIER</v>
          </cell>
          <cell r="E77">
            <v>32900</v>
          </cell>
          <cell r="F77">
            <v>1000</v>
          </cell>
          <cell r="G77" t="str">
            <v>SET</v>
          </cell>
        </row>
        <row r="78">
          <cell r="C78">
            <v>321</v>
          </cell>
          <cell r="D78" t="str">
            <v>-  SINGLE SPACE TYPE DECK</v>
          </cell>
          <cell r="E78">
            <v>7550</v>
          </cell>
          <cell r="F78">
            <v>200</v>
          </cell>
          <cell r="G78" t="str">
            <v>SET</v>
          </cell>
        </row>
        <row r="79">
          <cell r="C79">
            <v>322</v>
          </cell>
          <cell r="D79" t="str">
            <v>-  DOUBLE TAPE DECK</v>
          </cell>
          <cell r="E79">
            <v>15000</v>
          </cell>
          <cell r="F79">
            <v>200</v>
          </cell>
          <cell r="G79" t="str">
            <v>SET</v>
          </cell>
        </row>
        <row r="80">
          <cell r="C80">
            <v>323</v>
          </cell>
          <cell r="D80" t="str">
            <v>-  1 D.CD.PLAYER</v>
          </cell>
          <cell r="E80">
            <v>0</v>
          </cell>
          <cell r="F80">
            <v>0</v>
          </cell>
          <cell r="G80" t="str">
            <v>SET</v>
          </cell>
        </row>
        <row r="81">
          <cell r="C81">
            <v>324</v>
          </cell>
          <cell r="D81" t="str">
            <v>-  3 D.CD.PLAYER</v>
          </cell>
          <cell r="E81">
            <v>0</v>
          </cell>
          <cell r="F81">
            <v>0</v>
          </cell>
          <cell r="G81" t="str">
            <v>SET</v>
          </cell>
        </row>
        <row r="82">
          <cell r="C82">
            <v>325</v>
          </cell>
          <cell r="D82" t="str">
            <v>-  5D.CD.PLAYER</v>
          </cell>
          <cell r="E82">
            <v>0</v>
          </cell>
          <cell r="F82">
            <v>0</v>
          </cell>
          <cell r="G82" t="str">
            <v>SET</v>
          </cell>
        </row>
        <row r="83">
          <cell r="C83">
            <v>326</v>
          </cell>
          <cell r="D83" t="str">
            <v>-  10 D.CD PLAYER</v>
          </cell>
          <cell r="E83">
            <v>0</v>
          </cell>
          <cell r="F83">
            <v>0</v>
          </cell>
          <cell r="G83" t="str">
            <v>SET</v>
          </cell>
        </row>
        <row r="84">
          <cell r="C84">
            <v>327</v>
          </cell>
          <cell r="D84" t="str">
            <v>-  TUNER &amp; ANTENNA</v>
          </cell>
          <cell r="E84">
            <v>5870</v>
          </cell>
          <cell r="F84">
            <v>200</v>
          </cell>
          <cell r="G84" t="str">
            <v>SET</v>
          </cell>
        </row>
        <row r="85">
          <cell r="C85">
            <v>408</v>
          </cell>
          <cell r="D85" t="str">
            <v>SPACE</v>
          </cell>
          <cell r="E85">
            <v>2800</v>
          </cell>
          <cell r="F85">
            <v>0</v>
          </cell>
          <cell r="G85" t="str">
            <v>EA.</v>
          </cell>
        </row>
        <row r="86">
          <cell r="C86">
            <v>331</v>
          </cell>
          <cell r="D86" t="str">
            <v>-  18 ZONE CALL STATION</v>
          </cell>
          <cell r="E86">
            <v>54000</v>
          </cell>
          <cell r="F86">
            <v>0</v>
          </cell>
          <cell r="G86" t="str">
            <v>SET</v>
          </cell>
        </row>
        <row r="87">
          <cell r="C87">
            <v>332</v>
          </cell>
          <cell r="D87" t="str">
            <v>-  36 ZONE CALL STATION</v>
          </cell>
          <cell r="E87">
            <v>75600</v>
          </cell>
          <cell r="F87">
            <v>0</v>
          </cell>
          <cell r="G87" t="str">
            <v>SET</v>
          </cell>
        </row>
        <row r="88">
          <cell r="C88">
            <v>333</v>
          </cell>
          <cell r="D88" t="str">
            <v>-  SYSTEM MANAGEMENT</v>
          </cell>
          <cell r="E88">
            <v>150500</v>
          </cell>
          <cell r="F88">
            <v>5000</v>
          </cell>
          <cell r="G88" t="str">
            <v>SET</v>
          </cell>
        </row>
        <row r="89">
          <cell r="C89">
            <v>412</v>
          </cell>
          <cell r="D89" t="str">
            <v>SPACE</v>
          </cell>
          <cell r="E89">
            <v>10000</v>
          </cell>
          <cell r="F89">
            <v>0</v>
          </cell>
          <cell r="G89" t="str">
            <v>EA.</v>
          </cell>
        </row>
        <row r="90">
          <cell r="C90">
            <v>413</v>
          </cell>
          <cell r="D90" t="str">
            <v>LOUDSPEAKER</v>
          </cell>
          <cell r="E90">
            <v>10000</v>
          </cell>
          <cell r="F90">
            <v>0</v>
          </cell>
          <cell r="G90" t="str">
            <v>EA.</v>
          </cell>
        </row>
        <row r="91">
          <cell r="C91">
            <v>341</v>
          </cell>
          <cell r="D91" t="str">
            <v>-  3 W. CABINET SPEAKER</v>
          </cell>
          <cell r="E91">
            <v>2240</v>
          </cell>
          <cell r="F91">
            <v>200</v>
          </cell>
          <cell r="G91" t="str">
            <v>SET</v>
          </cell>
        </row>
        <row r="92">
          <cell r="C92">
            <v>342</v>
          </cell>
          <cell r="D92" t="str">
            <v>-  6 W. CABINET SPEAKER</v>
          </cell>
          <cell r="E92">
            <v>2310</v>
          </cell>
          <cell r="F92">
            <v>200</v>
          </cell>
          <cell r="G92" t="str">
            <v>SET</v>
          </cell>
        </row>
        <row r="93">
          <cell r="C93">
            <v>343</v>
          </cell>
          <cell r="D93" t="str">
            <v>-  12 W. (MAX) COLUMN SPEAKER</v>
          </cell>
          <cell r="E93">
            <v>10590</v>
          </cell>
          <cell r="F93">
            <v>100</v>
          </cell>
          <cell r="G93" t="str">
            <v>SET</v>
          </cell>
        </row>
        <row r="94">
          <cell r="C94">
            <v>344</v>
          </cell>
          <cell r="D94" t="str">
            <v>-  24 W (MAX) COLUMN SPEAKER</v>
          </cell>
          <cell r="E94">
            <v>14510</v>
          </cell>
          <cell r="F94">
            <v>100</v>
          </cell>
          <cell r="G94" t="str">
            <v>SET</v>
          </cell>
        </row>
        <row r="95">
          <cell r="C95">
            <v>345</v>
          </cell>
          <cell r="D95" t="str">
            <v>-  36 W.(MAX) COLUMN SPEAKER</v>
          </cell>
          <cell r="E95">
            <v>1499</v>
          </cell>
          <cell r="F95">
            <v>100</v>
          </cell>
          <cell r="G95" t="str">
            <v>SET</v>
          </cell>
        </row>
        <row r="96">
          <cell r="C96">
            <v>346</v>
          </cell>
          <cell r="D96" t="str">
            <v>-  12 W. CARDIOID COLUMN SPEAKER</v>
          </cell>
          <cell r="E96">
            <v>24000</v>
          </cell>
          <cell r="F96">
            <v>500</v>
          </cell>
          <cell r="G96" t="str">
            <v>SET</v>
          </cell>
        </row>
        <row r="97">
          <cell r="C97">
            <v>347</v>
          </cell>
          <cell r="D97" t="str">
            <v>-  24 W. CARDIOID COLUMN SPEAKER</v>
          </cell>
          <cell r="E97">
            <v>36000</v>
          </cell>
          <cell r="F97">
            <v>500</v>
          </cell>
          <cell r="G97" t="str">
            <v>SET</v>
          </cell>
        </row>
        <row r="98">
          <cell r="C98">
            <v>348</v>
          </cell>
          <cell r="D98" t="str">
            <v>-  30 W. CARDIOID COLUMN SPEAKER</v>
          </cell>
          <cell r="E98">
            <v>46000</v>
          </cell>
          <cell r="F98">
            <v>500</v>
          </cell>
          <cell r="G98" t="str">
            <v>SET</v>
          </cell>
        </row>
        <row r="99">
          <cell r="C99">
            <v>349</v>
          </cell>
          <cell r="D99" t="str">
            <v>-  36 W. CARDIOID COLUMN SPEAKER (OUT DOOR)</v>
          </cell>
          <cell r="E99">
            <v>52000</v>
          </cell>
          <cell r="F99">
            <v>500</v>
          </cell>
          <cell r="G99" t="str">
            <v>SET</v>
          </cell>
        </row>
        <row r="100">
          <cell r="C100" t="str">
            <v xml:space="preserve"> </v>
          </cell>
          <cell r="D100" t="str">
            <v>SPACE</v>
          </cell>
          <cell r="E100">
            <v>6000</v>
          </cell>
          <cell r="F100">
            <v>0</v>
          </cell>
          <cell r="G100" t="str">
            <v>EA.</v>
          </cell>
        </row>
        <row r="101">
          <cell r="C101">
            <v>351</v>
          </cell>
          <cell r="D101" t="str">
            <v>-  6 W. PANEL SPEAKER</v>
          </cell>
          <cell r="E101">
            <v>3500</v>
          </cell>
          <cell r="F101">
            <v>100</v>
          </cell>
          <cell r="G101" t="str">
            <v>SET</v>
          </cell>
        </row>
        <row r="102">
          <cell r="C102">
            <v>352</v>
          </cell>
          <cell r="D102" t="str">
            <v>-  6 W. CEILING LOUD SPEAKER</v>
          </cell>
          <cell r="E102">
            <v>1900</v>
          </cell>
          <cell r="F102">
            <v>200</v>
          </cell>
          <cell r="G102" t="str">
            <v>SET</v>
          </cell>
        </row>
        <row r="103">
          <cell r="C103">
            <v>353</v>
          </cell>
          <cell r="D103" t="str">
            <v>-  24 W. PANEL CEILING SPEAKER</v>
          </cell>
          <cell r="E103">
            <v>0</v>
          </cell>
          <cell r="F103">
            <v>200</v>
          </cell>
          <cell r="G103" t="str">
            <v>SET</v>
          </cell>
        </row>
        <row r="104">
          <cell r="C104">
            <v>507</v>
          </cell>
          <cell r="D104" t="str">
            <v>SPACE</v>
          </cell>
          <cell r="E104">
            <v>15000</v>
          </cell>
          <cell r="F104">
            <v>0</v>
          </cell>
          <cell r="G104" t="str">
            <v>EA.</v>
          </cell>
        </row>
        <row r="105">
          <cell r="C105">
            <v>356</v>
          </cell>
          <cell r="D105" t="str">
            <v xml:space="preserve">-  6 W. B1-DIRECTIONAL SOUND PROJECTOR                       </v>
          </cell>
          <cell r="E105">
            <v>3570</v>
          </cell>
          <cell r="F105">
            <v>100</v>
          </cell>
          <cell r="G105" t="str">
            <v>SET</v>
          </cell>
        </row>
        <row r="106">
          <cell r="C106">
            <v>357</v>
          </cell>
          <cell r="D106" t="str">
            <v>-  6 W. SOUND PROJECTOR</v>
          </cell>
          <cell r="E106">
            <v>2950</v>
          </cell>
          <cell r="F106">
            <v>100</v>
          </cell>
          <cell r="G106" t="str">
            <v>SET</v>
          </cell>
        </row>
        <row r="107">
          <cell r="C107">
            <v>358</v>
          </cell>
          <cell r="D107" t="str">
            <v>-  10 W. SOUND PROJECTOR</v>
          </cell>
          <cell r="E107">
            <v>3810</v>
          </cell>
          <cell r="F107">
            <v>100</v>
          </cell>
          <cell r="G107" t="str">
            <v>SET</v>
          </cell>
        </row>
        <row r="108">
          <cell r="C108">
            <v>359</v>
          </cell>
          <cell r="D108" t="str">
            <v>-  10 W. PENDANT SPHERE SPEAKER</v>
          </cell>
          <cell r="E108">
            <v>3590</v>
          </cell>
          <cell r="F108">
            <v>100</v>
          </cell>
          <cell r="G108" t="str">
            <v>SET</v>
          </cell>
        </row>
        <row r="109">
          <cell r="C109">
            <v>360</v>
          </cell>
          <cell r="D109" t="str">
            <v>-  25 W. (MAX.) SOUND PROJECTOR</v>
          </cell>
          <cell r="E109">
            <v>0</v>
          </cell>
          <cell r="F109">
            <v>0</v>
          </cell>
          <cell r="G109" t="str">
            <v>SET</v>
          </cell>
        </row>
        <row r="110">
          <cell r="C110">
            <v>361</v>
          </cell>
          <cell r="D110" t="str">
            <v xml:space="preserve">-  25 W. (MAX.) SOUND PROJECTOR (OUTDOOR)                      </v>
          </cell>
          <cell r="E110">
            <v>0</v>
          </cell>
          <cell r="F110">
            <v>0</v>
          </cell>
          <cell r="G110" t="str">
            <v>SET</v>
          </cell>
        </row>
        <row r="111">
          <cell r="C111">
            <v>605</v>
          </cell>
          <cell r="D111" t="str">
            <v>SPACE</v>
          </cell>
          <cell r="E111">
            <v>130000</v>
          </cell>
          <cell r="F111">
            <v>0</v>
          </cell>
          <cell r="G111" t="str">
            <v>EA.</v>
          </cell>
        </row>
        <row r="112">
          <cell r="C112">
            <v>366</v>
          </cell>
          <cell r="D112" t="str">
            <v xml:space="preserve">-  10 W. HORN  </v>
          </cell>
          <cell r="E112">
            <v>4100</v>
          </cell>
          <cell r="F112">
            <v>100</v>
          </cell>
          <cell r="G112" t="str">
            <v>SET</v>
          </cell>
        </row>
        <row r="113">
          <cell r="C113">
            <v>367</v>
          </cell>
          <cell r="D113" t="str">
            <v>-  15 W. HORN</v>
          </cell>
          <cell r="E113">
            <v>0</v>
          </cell>
          <cell r="F113">
            <v>0</v>
          </cell>
          <cell r="G113" t="str">
            <v>SET</v>
          </cell>
        </row>
        <row r="114">
          <cell r="C114">
            <v>368</v>
          </cell>
          <cell r="D114" t="str">
            <v>-  20 W. HORN</v>
          </cell>
          <cell r="E114">
            <v>7370</v>
          </cell>
          <cell r="F114">
            <v>100</v>
          </cell>
          <cell r="G114" t="str">
            <v>SET</v>
          </cell>
        </row>
        <row r="115">
          <cell r="C115">
            <v>369</v>
          </cell>
          <cell r="D115" t="str">
            <v>-  30 W. HORN</v>
          </cell>
          <cell r="E115">
            <v>8380</v>
          </cell>
          <cell r="F115">
            <v>100</v>
          </cell>
          <cell r="G115" t="str">
            <v>SET</v>
          </cell>
        </row>
        <row r="116">
          <cell r="C116">
            <v>610</v>
          </cell>
          <cell r="D116" t="str">
            <v>SPACE</v>
          </cell>
          <cell r="E116">
            <v>747000</v>
          </cell>
          <cell r="F116">
            <v>0</v>
          </cell>
          <cell r="G116" t="str">
            <v>EA.</v>
          </cell>
        </row>
        <row r="117">
          <cell r="C117">
            <v>234</v>
          </cell>
          <cell r="D117" t="str">
            <v>SPACE</v>
          </cell>
          <cell r="E117">
            <v>6000</v>
          </cell>
          <cell r="F117">
            <v>300</v>
          </cell>
          <cell r="G117" t="str">
            <v>EA.</v>
          </cell>
        </row>
        <row r="118">
          <cell r="C118">
            <v>4</v>
          </cell>
          <cell r="D118" t="str">
            <v>LIGHTING CONTROL</v>
          </cell>
          <cell r="E118">
            <v>10000</v>
          </cell>
          <cell r="F118">
            <v>400</v>
          </cell>
          <cell r="G118" t="str">
            <v>EA.</v>
          </cell>
        </row>
        <row r="119">
          <cell r="C119">
            <v>701</v>
          </cell>
          <cell r="D119" t="str">
            <v>NATIONAL 2W. REMOTE CONTROL</v>
          </cell>
          <cell r="E119">
            <v>10000</v>
          </cell>
          <cell r="F119">
            <v>500</v>
          </cell>
          <cell r="G119" t="str">
            <v>EA.</v>
          </cell>
        </row>
        <row r="120">
          <cell r="C120">
            <v>702</v>
          </cell>
          <cell r="D120" t="str">
            <v>-  2 W, NATIONAL</v>
          </cell>
          <cell r="E120">
            <v>11000</v>
          </cell>
          <cell r="F120">
            <v>500</v>
          </cell>
          <cell r="G120" t="str">
            <v>EA.</v>
          </cell>
        </row>
        <row r="121">
          <cell r="C121">
            <v>703</v>
          </cell>
          <cell r="D121" t="str">
            <v>-  DILITE</v>
          </cell>
          <cell r="E121">
            <v>14000</v>
          </cell>
          <cell r="F121">
            <v>500</v>
          </cell>
          <cell r="G121" t="str">
            <v>SET</v>
          </cell>
        </row>
        <row r="122">
          <cell r="C122">
            <v>401</v>
          </cell>
          <cell r="D122" t="str">
            <v>-  TRANSMISSION UNIT</v>
          </cell>
          <cell r="E122">
            <v>25200</v>
          </cell>
          <cell r="F122">
            <v>500</v>
          </cell>
          <cell r="G122" t="str">
            <v>SET</v>
          </cell>
        </row>
        <row r="123">
          <cell r="C123">
            <v>402</v>
          </cell>
          <cell r="D123" t="str">
            <v>-  TRANSFORMER</v>
          </cell>
          <cell r="E123">
            <v>4650</v>
          </cell>
          <cell r="F123">
            <v>200</v>
          </cell>
          <cell r="G123" t="str">
            <v>SET</v>
          </cell>
        </row>
        <row r="124">
          <cell r="C124">
            <v>403</v>
          </cell>
          <cell r="D124" t="str">
            <v>-  CONTACT INPUT TERMINAL UNIT</v>
          </cell>
          <cell r="E124">
            <v>5960</v>
          </cell>
          <cell r="F124">
            <v>200</v>
          </cell>
          <cell r="G124" t="str">
            <v>SET</v>
          </cell>
        </row>
        <row r="125">
          <cell r="C125">
            <v>404</v>
          </cell>
          <cell r="D125" t="str">
            <v>-  PATTERN SWITCH (4 PATTERN)</v>
          </cell>
          <cell r="E125">
            <v>2830</v>
          </cell>
          <cell r="F125">
            <v>200</v>
          </cell>
          <cell r="G125" t="str">
            <v>SET</v>
          </cell>
        </row>
        <row r="126">
          <cell r="C126">
            <v>405</v>
          </cell>
          <cell r="D126" t="str">
            <v xml:space="preserve">-  PATTERN SETTING SWITCH </v>
          </cell>
          <cell r="E126">
            <v>2830</v>
          </cell>
          <cell r="F126">
            <v>200</v>
          </cell>
          <cell r="G126" t="str">
            <v>SET</v>
          </cell>
        </row>
        <row r="127">
          <cell r="C127">
            <v>406</v>
          </cell>
          <cell r="D127" t="str">
            <v>-  ZONE PATTERN SWITCH (3 PATTERN)</v>
          </cell>
          <cell r="E127">
            <v>2900</v>
          </cell>
          <cell r="F127">
            <v>200</v>
          </cell>
          <cell r="G127" t="str">
            <v>SET</v>
          </cell>
        </row>
        <row r="128">
          <cell r="C128">
            <v>407</v>
          </cell>
          <cell r="D128" t="str">
            <v>-  GROUP SWITCH 1 GROUP</v>
          </cell>
          <cell r="E128">
            <v>2450</v>
          </cell>
          <cell r="F128">
            <v>200</v>
          </cell>
          <cell r="G128" t="str">
            <v>SET</v>
          </cell>
        </row>
        <row r="129">
          <cell r="C129">
            <v>408</v>
          </cell>
          <cell r="D129" t="str">
            <v>-  GROUP SWITCH 4 GROUP</v>
          </cell>
          <cell r="E129">
            <v>3050</v>
          </cell>
          <cell r="F129">
            <v>200</v>
          </cell>
          <cell r="G129" t="str">
            <v>SET</v>
          </cell>
        </row>
        <row r="130">
          <cell r="C130">
            <v>409</v>
          </cell>
          <cell r="D130" t="str">
            <v xml:space="preserve">-  GROUP SETTING SWITCH </v>
          </cell>
          <cell r="E130">
            <v>2830</v>
          </cell>
          <cell r="F130">
            <v>200</v>
          </cell>
          <cell r="G130" t="str">
            <v>SET</v>
          </cell>
        </row>
        <row r="131">
          <cell r="C131">
            <v>410</v>
          </cell>
          <cell r="D131" t="str">
            <v>-  TIMER SETTING UNIT</v>
          </cell>
          <cell r="E131">
            <v>54400</v>
          </cell>
          <cell r="F131">
            <v>200</v>
          </cell>
          <cell r="G131" t="str">
            <v>SET</v>
          </cell>
        </row>
        <row r="132">
          <cell r="C132">
            <v>411</v>
          </cell>
          <cell r="D132" t="str">
            <v>-  HID RELAY 20A. (SINGLE POLE)</v>
          </cell>
          <cell r="E132">
            <v>1420</v>
          </cell>
          <cell r="F132">
            <v>100</v>
          </cell>
          <cell r="G132" t="str">
            <v>SET</v>
          </cell>
        </row>
        <row r="133">
          <cell r="C133">
            <v>412</v>
          </cell>
          <cell r="D133" t="str">
            <v>-  HID RELAY 20A. (DOUBLE POLE)</v>
          </cell>
          <cell r="E133">
            <v>2870</v>
          </cell>
          <cell r="F133">
            <v>100</v>
          </cell>
          <cell r="G133" t="str">
            <v>SET</v>
          </cell>
        </row>
        <row r="134">
          <cell r="C134">
            <v>413</v>
          </cell>
          <cell r="D134" t="str">
            <v>-  RELAY CONTROL T/U (4 CIRCUIT)</v>
          </cell>
          <cell r="E134">
            <v>4100</v>
          </cell>
          <cell r="F134">
            <v>200</v>
          </cell>
          <cell r="G134" t="str">
            <v>SET</v>
          </cell>
        </row>
        <row r="135">
          <cell r="C135">
            <v>414</v>
          </cell>
          <cell r="D135" t="str">
            <v>-  RELAY CONTROL T/U (1 CIRCUIT)</v>
          </cell>
          <cell r="E135">
            <v>2600</v>
          </cell>
          <cell r="F135">
            <v>200</v>
          </cell>
          <cell r="G135" t="str">
            <v>SET</v>
          </cell>
        </row>
        <row r="136">
          <cell r="C136">
            <v>415</v>
          </cell>
          <cell r="D136" t="str">
            <v>-  6A. CONTACT OUTPUT T/U (4 CIRCUIT)</v>
          </cell>
          <cell r="E136">
            <v>6350</v>
          </cell>
          <cell r="F136">
            <v>200</v>
          </cell>
          <cell r="G136" t="str">
            <v>SET</v>
          </cell>
        </row>
        <row r="137">
          <cell r="C137">
            <v>416</v>
          </cell>
          <cell r="D137" t="str">
            <v>-  6A. CONTACT OUTPUT T/U (1 CIRCUIT)</v>
          </cell>
          <cell r="E137">
            <v>3100</v>
          </cell>
          <cell r="F137">
            <v>200</v>
          </cell>
          <cell r="G137" t="str">
            <v>SET</v>
          </cell>
        </row>
        <row r="138">
          <cell r="C138">
            <v>417</v>
          </cell>
          <cell r="D138" t="str">
            <v>-  INTERFACE</v>
          </cell>
          <cell r="E138">
            <v>133900</v>
          </cell>
          <cell r="F138">
            <v>0</v>
          </cell>
          <cell r="G138" t="str">
            <v>SET</v>
          </cell>
        </row>
        <row r="139">
          <cell r="C139">
            <v>418</v>
          </cell>
          <cell r="D139" t="str">
            <v>-  AMPLIFIER</v>
          </cell>
          <cell r="E139">
            <v>8230</v>
          </cell>
          <cell r="F139">
            <v>200</v>
          </cell>
          <cell r="G139" t="str">
            <v>SET</v>
          </cell>
        </row>
        <row r="140">
          <cell r="C140">
            <v>419</v>
          </cell>
          <cell r="D140" t="str">
            <v>-  WIRE LESS PANEL UNIT</v>
          </cell>
          <cell r="E140">
            <v>7500</v>
          </cell>
          <cell r="F140">
            <v>200</v>
          </cell>
          <cell r="G140" t="str">
            <v>SET</v>
          </cell>
        </row>
        <row r="141">
          <cell r="C141">
            <v>420</v>
          </cell>
          <cell r="D141" t="str">
            <v>-  WIRE LESS 4 SWITCH</v>
          </cell>
          <cell r="E141">
            <v>3500</v>
          </cell>
          <cell r="F141">
            <v>200</v>
          </cell>
          <cell r="G141" t="str">
            <v>SET</v>
          </cell>
        </row>
        <row r="142">
          <cell r="C142">
            <v>806</v>
          </cell>
          <cell r="D142" t="str">
            <v>SPACE</v>
          </cell>
          <cell r="E142">
            <v>207000</v>
          </cell>
          <cell r="F142">
            <v>800</v>
          </cell>
          <cell r="G142" t="str">
            <v>M.</v>
          </cell>
        </row>
        <row r="143">
          <cell r="C143" t="str">
            <v xml:space="preserve"> </v>
          </cell>
          <cell r="D143" t="str">
            <v xml:space="preserve">   DILITE LIGHTING CONTROL</v>
          </cell>
          <cell r="E143">
            <v>23000</v>
          </cell>
          <cell r="F143">
            <v>1000</v>
          </cell>
          <cell r="G143" t="str">
            <v>M.</v>
          </cell>
        </row>
        <row r="144">
          <cell r="C144">
            <v>432</v>
          </cell>
          <cell r="D144" t="str">
            <v>-  BOX RELAY</v>
          </cell>
          <cell r="E144">
            <v>9650</v>
          </cell>
          <cell r="F144">
            <v>250</v>
          </cell>
          <cell r="G144" t="str">
            <v>SET</v>
          </cell>
        </row>
        <row r="145">
          <cell r="C145">
            <v>433</v>
          </cell>
          <cell r="D145" t="str">
            <v>-  SWITCH TIMER</v>
          </cell>
          <cell r="E145">
            <v>1750</v>
          </cell>
          <cell r="F145">
            <v>250</v>
          </cell>
          <cell r="G145" t="str">
            <v>SET</v>
          </cell>
        </row>
        <row r="146">
          <cell r="C146">
            <v>434</v>
          </cell>
          <cell r="D146" t="str">
            <v>-  SWITCH 8</v>
          </cell>
          <cell r="E146">
            <v>1450</v>
          </cell>
          <cell r="F146">
            <v>250</v>
          </cell>
          <cell r="G146" t="str">
            <v>SET</v>
          </cell>
        </row>
        <row r="147">
          <cell r="C147">
            <v>435</v>
          </cell>
          <cell r="D147" t="str">
            <v>-  SWITCH 8 PLUS INFRARED</v>
          </cell>
          <cell r="E147">
            <v>1650</v>
          </cell>
          <cell r="F147">
            <v>250</v>
          </cell>
          <cell r="G147" t="str">
            <v>SET</v>
          </cell>
        </row>
        <row r="148">
          <cell r="C148">
            <v>436</v>
          </cell>
          <cell r="D148" t="str">
            <v>-  SWITCH ZONE</v>
          </cell>
          <cell r="E148">
            <v>1950</v>
          </cell>
          <cell r="F148">
            <v>250</v>
          </cell>
          <cell r="G148" t="str">
            <v>SET</v>
          </cell>
        </row>
        <row r="149">
          <cell r="C149">
            <v>437</v>
          </cell>
          <cell r="D149" t="str">
            <v>-  SWITCH ZONE PLUS INFRARED</v>
          </cell>
          <cell r="E149">
            <v>2150</v>
          </cell>
          <cell r="F149">
            <v>250</v>
          </cell>
          <cell r="G149" t="str">
            <v>SET</v>
          </cell>
        </row>
        <row r="150">
          <cell r="C150">
            <v>438</v>
          </cell>
          <cell r="D150" t="str">
            <v>-  ADAPTER SWITCH</v>
          </cell>
          <cell r="E150">
            <v>1400</v>
          </cell>
          <cell r="F150">
            <v>250</v>
          </cell>
          <cell r="G150" t="str">
            <v>SET</v>
          </cell>
        </row>
        <row r="151">
          <cell r="C151">
            <v>439</v>
          </cell>
          <cell r="D151" t="str">
            <v>-  PHONE CONTROL PLUS</v>
          </cell>
          <cell r="E151">
            <v>3550</v>
          </cell>
          <cell r="F151">
            <v>250</v>
          </cell>
          <cell r="G151" t="str">
            <v>SET</v>
          </cell>
        </row>
        <row r="152">
          <cell r="C152">
            <v>440</v>
          </cell>
          <cell r="D152" t="str">
            <v>-  INFRARED RECEIVER</v>
          </cell>
          <cell r="E152">
            <v>1400</v>
          </cell>
          <cell r="F152">
            <v>250</v>
          </cell>
          <cell r="G152" t="str">
            <v>SET</v>
          </cell>
        </row>
        <row r="153">
          <cell r="C153">
            <v>441</v>
          </cell>
          <cell r="D153" t="str">
            <v>-  REMOTE ALARM</v>
          </cell>
          <cell r="E153">
            <v>1500</v>
          </cell>
          <cell r="F153">
            <v>250</v>
          </cell>
          <cell r="G153" t="str">
            <v>SET</v>
          </cell>
        </row>
        <row r="154">
          <cell r="C154">
            <v>442</v>
          </cell>
          <cell r="D154" t="str">
            <v>-  REMOTE ALARM WITH INDICATOR</v>
          </cell>
          <cell r="E154">
            <v>3400</v>
          </cell>
          <cell r="F154">
            <v>250</v>
          </cell>
          <cell r="G154" t="str">
            <v>SET</v>
          </cell>
        </row>
        <row r="155">
          <cell r="C155">
            <v>443</v>
          </cell>
          <cell r="D155" t="str">
            <v>-  COMPUTER CONTROL</v>
          </cell>
          <cell r="E155">
            <v>2600</v>
          </cell>
          <cell r="F155">
            <v>250</v>
          </cell>
          <cell r="G155" t="str">
            <v>SET</v>
          </cell>
        </row>
        <row r="156">
          <cell r="C156">
            <v>444</v>
          </cell>
          <cell r="D156" t="str">
            <v>-  SWITCH PROGRAMMABLE</v>
          </cell>
          <cell r="E156">
            <v>3100</v>
          </cell>
          <cell r="F156">
            <v>250</v>
          </cell>
          <cell r="G156" t="str">
            <v>SET</v>
          </cell>
        </row>
        <row r="157">
          <cell r="C157">
            <v>445</v>
          </cell>
          <cell r="D157" t="str">
            <v>-  ADAPTER PROGRAMMABLE</v>
          </cell>
          <cell r="E157">
            <v>2700</v>
          </cell>
          <cell r="F157">
            <v>250</v>
          </cell>
          <cell r="G157" t="str">
            <v>SET</v>
          </cell>
        </row>
        <row r="158">
          <cell r="C158">
            <v>446</v>
          </cell>
          <cell r="D158" t="str">
            <v>-  TEMPERATURE FARM</v>
          </cell>
          <cell r="E158">
            <v>3200</v>
          </cell>
          <cell r="F158">
            <v>250</v>
          </cell>
          <cell r="G158" t="str">
            <v>SET</v>
          </cell>
        </row>
        <row r="159">
          <cell r="C159">
            <v>447</v>
          </cell>
          <cell r="D159" t="str">
            <v>-  TEMPERATURE AIR/RELAY</v>
          </cell>
          <cell r="E159">
            <v>2800</v>
          </cell>
          <cell r="F159">
            <v>250</v>
          </cell>
          <cell r="G159" t="str">
            <v>SET</v>
          </cell>
        </row>
        <row r="160">
          <cell r="C160">
            <v>448</v>
          </cell>
          <cell r="D160" t="str">
            <v>-  20 A. RELAY</v>
          </cell>
          <cell r="E160">
            <v>500</v>
          </cell>
          <cell r="F160">
            <v>100</v>
          </cell>
          <cell r="G160" t="str">
            <v>SET</v>
          </cell>
        </row>
        <row r="161">
          <cell r="C161">
            <v>824</v>
          </cell>
          <cell r="D161" t="str">
            <v>SPACE</v>
          </cell>
          <cell r="E161">
            <v>14000</v>
          </cell>
          <cell r="F161">
            <v>500</v>
          </cell>
          <cell r="G161" t="str">
            <v>M.</v>
          </cell>
        </row>
        <row r="162">
          <cell r="C162">
            <v>5</v>
          </cell>
          <cell r="D162" t="str">
            <v>ACCESS, CONTROL</v>
          </cell>
          <cell r="E162">
            <v>14800</v>
          </cell>
          <cell r="F162">
            <v>500</v>
          </cell>
          <cell r="G162" t="str">
            <v>M.</v>
          </cell>
        </row>
        <row r="163">
          <cell r="C163">
            <v>501</v>
          </cell>
          <cell r="D163" t="str">
            <v>-  CONTROLLER</v>
          </cell>
          <cell r="E163">
            <v>33000</v>
          </cell>
          <cell r="F163">
            <v>9000</v>
          </cell>
          <cell r="G163" t="str">
            <v>SET</v>
          </cell>
        </row>
        <row r="164">
          <cell r="C164">
            <v>502</v>
          </cell>
          <cell r="D164" t="str">
            <v>-  DOOR STRIKE WITH DOOR LATCH</v>
          </cell>
          <cell r="E164">
            <v>6000</v>
          </cell>
          <cell r="F164">
            <v>1000</v>
          </cell>
          <cell r="G164" t="str">
            <v>SET</v>
          </cell>
        </row>
        <row r="165">
          <cell r="C165">
            <v>503</v>
          </cell>
          <cell r="D165" t="str">
            <v>-  POWER SUPPLY WITH BATTERY CHARGER</v>
          </cell>
          <cell r="E165">
            <v>2000</v>
          </cell>
          <cell r="F165">
            <v>500</v>
          </cell>
          <cell r="G165" t="str">
            <v>SET</v>
          </cell>
        </row>
        <row r="166">
          <cell r="C166">
            <v>504</v>
          </cell>
          <cell r="D166" t="str">
            <v>-  EXIT BUTTON</v>
          </cell>
          <cell r="E166">
            <v>500</v>
          </cell>
          <cell r="F166">
            <v>300</v>
          </cell>
          <cell r="G166" t="str">
            <v>SET</v>
          </cell>
        </row>
        <row r="167">
          <cell r="C167">
            <v>505</v>
          </cell>
          <cell r="D167" t="str">
            <v>-  ELECTROMAGNETIC LOCK</v>
          </cell>
          <cell r="E167">
            <v>10000</v>
          </cell>
          <cell r="F167">
            <v>1000</v>
          </cell>
          <cell r="G167" t="str">
            <v>SET</v>
          </cell>
        </row>
        <row r="168">
          <cell r="C168">
            <v>831</v>
          </cell>
          <cell r="D168" t="str">
            <v>SPACE</v>
          </cell>
          <cell r="E168">
            <v>37000</v>
          </cell>
          <cell r="F168">
            <v>1000</v>
          </cell>
          <cell r="G168" t="str">
            <v>M.</v>
          </cell>
        </row>
        <row r="169">
          <cell r="C169">
            <v>832</v>
          </cell>
          <cell r="D169" t="str">
            <v>CARD READER</v>
          </cell>
          <cell r="E169">
            <v>44000</v>
          </cell>
          <cell r="F169">
            <v>1000</v>
          </cell>
          <cell r="G169" t="str">
            <v>M.</v>
          </cell>
        </row>
        <row r="170">
          <cell r="C170">
            <v>511</v>
          </cell>
          <cell r="D170" t="str">
            <v>-  MAGNETIC CARD READER</v>
          </cell>
          <cell r="E170">
            <v>6000</v>
          </cell>
          <cell r="F170">
            <v>1000</v>
          </cell>
          <cell r="G170" t="str">
            <v>SET</v>
          </cell>
        </row>
        <row r="171">
          <cell r="C171">
            <v>512</v>
          </cell>
          <cell r="D171" t="str">
            <v>-  MAGNETIC INSERT READER</v>
          </cell>
          <cell r="E171">
            <v>8500</v>
          </cell>
          <cell r="F171">
            <v>1000</v>
          </cell>
          <cell r="G171" t="str">
            <v>SET</v>
          </cell>
        </row>
        <row r="172">
          <cell r="C172">
            <v>513</v>
          </cell>
          <cell r="D172" t="str">
            <v>-  BAR CODE READER</v>
          </cell>
          <cell r="E172">
            <v>7000</v>
          </cell>
          <cell r="F172">
            <v>1000</v>
          </cell>
          <cell r="G172" t="str">
            <v>SET</v>
          </cell>
        </row>
        <row r="173">
          <cell r="C173">
            <v>514</v>
          </cell>
          <cell r="D173" t="str">
            <v xml:space="preserve">-  KEYPAD, METAL CASING WATERPROOF </v>
          </cell>
          <cell r="E173">
            <v>4800</v>
          </cell>
          <cell r="F173">
            <v>1000</v>
          </cell>
          <cell r="G173" t="str">
            <v>SET</v>
          </cell>
        </row>
        <row r="174">
          <cell r="C174">
            <v>515</v>
          </cell>
          <cell r="D174" t="str">
            <v>-  MAGNETIC CARD READER WITH KEY PAD &amp; DISPLAY</v>
          </cell>
          <cell r="E174">
            <v>7000</v>
          </cell>
          <cell r="F174">
            <v>1000</v>
          </cell>
          <cell r="G174" t="str">
            <v>SET</v>
          </cell>
        </row>
        <row r="175">
          <cell r="C175">
            <v>516</v>
          </cell>
          <cell r="D175" t="str">
            <v>-  BAR CODE READER</v>
          </cell>
          <cell r="E175">
            <v>7000</v>
          </cell>
          <cell r="F175">
            <v>1000</v>
          </cell>
          <cell r="G175" t="str">
            <v>SET</v>
          </cell>
        </row>
        <row r="176">
          <cell r="C176">
            <v>517</v>
          </cell>
          <cell r="D176" t="str">
            <v>-  SMART CARD READER WITH KEY PAD &amp; DISPLAY</v>
          </cell>
          <cell r="E176" t="str">
            <v>(ON REQ)</v>
          </cell>
          <cell r="F176">
            <v>0</v>
          </cell>
          <cell r="G176" t="str">
            <v>SET</v>
          </cell>
        </row>
        <row r="177">
          <cell r="C177">
            <v>840</v>
          </cell>
          <cell r="D177" t="str">
            <v>SPACE</v>
          </cell>
          <cell r="E177">
            <v>25000</v>
          </cell>
          <cell r="F177">
            <v>800</v>
          </cell>
          <cell r="G177" t="str">
            <v>M.</v>
          </cell>
        </row>
        <row r="178">
          <cell r="C178">
            <v>841</v>
          </cell>
          <cell r="D178" t="str">
            <v>CARD</v>
          </cell>
          <cell r="E178">
            <v>28000</v>
          </cell>
          <cell r="F178">
            <v>800</v>
          </cell>
          <cell r="G178" t="str">
            <v>M.</v>
          </cell>
        </row>
        <row r="179">
          <cell r="C179">
            <v>521</v>
          </cell>
          <cell r="D179" t="str">
            <v>-  CUSTOMER LOGO CARD</v>
          </cell>
          <cell r="E179">
            <v>100</v>
          </cell>
          <cell r="F179">
            <v>0</v>
          </cell>
          <cell r="G179" t="str">
            <v>SET</v>
          </cell>
        </row>
        <row r="180">
          <cell r="C180">
            <v>843</v>
          </cell>
          <cell r="D180" t="str">
            <v>SPACE</v>
          </cell>
          <cell r="E180">
            <v>50000</v>
          </cell>
          <cell r="F180">
            <v>1000</v>
          </cell>
          <cell r="G180" t="str">
            <v>M.</v>
          </cell>
        </row>
        <row r="181">
          <cell r="C181">
            <v>844</v>
          </cell>
          <cell r="D181" t="str">
            <v>COMMUNICATOR</v>
          </cell>
          <cell r="E181">
            <v>67000</v>
          </cell>
          <cell r="F181">
            <v>1000</v>
          </cell>
          <cell r="G181" t="str">
            <v>M.</v>
          </cell>
        </row>
        <row r="182">
          <cell r="C182">
            <v>526</v>
          </cell>
          <cell r="D182" t="str">
            <v>-  SERIAL COMMUNICATOR LINK UP TO 16 CONTROLLERS</v>
          </cell>
          <cell r="E182">
            <v>15000</v>
          </cell>
          <cell r="F182">
            <v>5000</v>
          </cell>
          <cell r="G182" t="str">
            <v>SET</v>
          </cell>
        </row>
        <row r="183">
          <cell r="C183">
            <v>527</v>
          </cell>
          <cell r="D183" t="str">
            <v>-  PARALLEL COMMUNICATOR LINK UP TO 16 CONTROLLERS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-  INTELLIGENT COMMUNICATOR LINK UP TO 64 CONTROLLERS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851</v>
          </cell>
          <cell r="D185" t="str">
            <v>SOFTWARE MANAGEMENT</v>
          </cell>
          <cell r="E185">
            <v>13000</v>
          </cell>
          <cell r="F185">
            <v>500</v>
          </cell>
          <cell r="G185" t="str">
            <v>M.</v>
          </cell>
        </row>
        <row r="186">
          <cell r="C186">
            <v>852</v>
          </cell>
          <cell r="D186" t="str">
            <v>-  16 CONTROLLERS ACCESS CONTROL MANAGEMENT</v>
          </cell>
          <cell r="E186">
            <v>22000</v>
          </cell>
          <cell r="F186">
            <v>10000</v>
          </cell>
          <cell r="G186" t="str">
            <v>SET</v>
          </cell>
        </row>
        <row r="187">
          <cell r="C187">
            <v>853</v>
          </cell>
          <cell r="D187" t="str">
            <v>-  64 CONTROLLERS ACCESS CONTROL MANAGEMENT</v>
          </cell>
          <cell r="E187">
            <v>35000</v>
          </cell>
          <cell r="F187">
            <v>15000</v>
          </cell>
          <cell r="G187" t="str">
            <v>SET</v>
          </cell>
        </row>
        <row r="188">
          <cell r="C188">
            <v>854</v>
          </cell>
          <cell r="D188" t="str">
            <v>-  AL. RISER BUSDUCT 1,350 A.</v>
          </cell>
          <cell r="E188">
            <v>15000</v>
          </cell>
          <cell r="F188">
            <v>700</v>
          </cell>
          <cell r="G188" t="str">
            <v>M.</v>
          </cell>
        </row>
        <row r="189">
          <cell r="C189">
            <v>855</v>
          </cell>
          <cell r="D189" t="str">
            <v>-  AL. RISER BUSDUCT 1,600 A.</v>
          </cell>
          <cell r="E189">
            <v>16000</v>
          </cell>
          <cell r="F189">
            <v>800</v>
          </cell>
          <cell r="G189" t="str">
            <v>M.</v>
          </cell>
        </row>
        <row r="190">
          <cell r="C190">
            <v>856</v>
          </cell>
          <cell r="D190" t="str">
            <v>-  AL. RISER BUSDUCT 2,000 A.</v>
          </cell>
          <cell r="E190">
            <v>25000</v>
          </cell>
          <cell r="F190">
            <v>800</v>
          </cell>
          <cell r="G190" t="str">
            <v>M.</v>
          </cell>
        </row>
        <row r="191">
          <cell r="C191">
            <v>857</v>
          </cell>
          <cell r="D191" t="str">
            <v>-  AL. RISER BUSDUCT 2,500 A.</v>
          </cell>
          <cell r="E191">
            <v>26600</v>
          </cell>
          <cell r="F191">
            <v>1000</v>
          </cell>
          <cell r="G191" t="str">
            <v>M.</v>
          </cell>
        </row>
        <row r="192">
          <cell r="C192">
            <v>858</v>
          </cell>
          <cell r="D192" t="str">
            <v>-  AL. RISER BUSDUCT 3,000 A.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-  AL. RISER BUSDUCT 4,000 A.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860</v>
          </cell>
          <cell r="D194" t="str">
            <v>-  CU. RISER BUSDUCT 800 A.</v>
          </cell>
          <cell r="E194">
            <v>16000</v>
          </cell>
          <cell r="F194">
            <v>500</v>
          </cell>
          <cell r="G194" t="str">
            <v>M.</v>
          </cell>
        </row>
        <row r="195">
          <cell r="C195">
            <v>861</v>
          </cell>
          <cell r="D195" t="str">
            <v>-  CU. RISER BUSDUCT 1,000 A.</v>
          </cell>
          <cell r="E195">
            <v>17300</v>
          </cell>
          <cell r="F195">
            <v>500</v>
          </cell>
          <cell r="G195" t="str">
            <v>M.</v>
          </cell>
        </row>
        <row r="196">
          <cell r="C196">
            <v>862</v>
          </cell>
          <cell r="D196" t="str">
            <v>-  CU. RISER BUSDUCT 1,200 A.</v>
          </cell>
          <cell r="E196">
            <v>19300</v>
          </cell>
          <cell r="F196">
            <v>700</v>
          </cell>
          <cell r="G196" t="str">
            <v>M.</v>
          </cell>
        </row>
        <row r="197">
          <cell r="C197">
            <v>863</v>
          </cell>
          <cell r="D197" t="str">
            <v>-  CU. RISER BUSDUCT 1,350 A.</v>
          </cell>
          <cell r="E197">
            <v>21000</v>
          </cell>
          <cell r="F197">
            <v>700</v>
          </cell>
          <cell r="G197" t="str">
            <v>M.</v>
          </cell>
        </row>
        <row r="198">
          <cell r="C198">
            <v>864</v>
          </cell>
          <cell r="D198" t="str">
            <v>-  CU. RISER BUSDUCT 1,600 A.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-  CU. RISER BUSDUCT 2,000 A.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866</v>
          </cell>
          <cell r="D200" t="str">
            <v>-  CU. RISER BUSDUCT 2,500 A.</v>
          </cell>
          <cell r="E200">
            <v>40000</v>
          </cell>
          <cell r="F200">
            <v>1000</v>
          </cell>
          <cell r="G200" t="str">
            <v>M.</v>
          </cell>
        </row>
        <row r="201">
          <cell r="C201">
            <v>867</v>
          </cell>
          <cell r="D201" t="str">
            <v>-  CU. RISER BUSDUCT 3,000 A.</v>
          </cell>
          <cell r="E201">
            <v>46600</v>
          </cell>
          <cell r="F201">
            <v>1000</v>
          </cell>
          <cell r="G201" t="str">
            <v>M.</v>
          </cell>
        </row>
        <row r="202">
          <cell r="C202">
            <v>868</v>
          </cell>
          <cell r="D202" t="str">
            <v>-  CU. RISER BUSDUCT 4,000 A.</v>
          </cell>
          <cell r="E202">
            <v>60000</v>
          </cell>
          <cell r="F202">
            <v>1000</v>
          </cell>
          <cell r="G202" t="str">
            <v>M.</v>
          </cell>
        </row>
        <row r="203">
          <cell r="C203">
            <v>869</v>
          </cell>
          <cell r="D203" t="str">
            <v>-  CU. RISER BUSDUCT 5,000 A.</v>
          </cell>
          <cell r="E203">
            <v>67000</v>
          </cell>
          <cell r="F203">
            <v>1000</v>
          </cell>
          <cell r="G203" t="str">
            <v>M.</v>
          </cell>
        </row>
        <row r="204">
          <cell r="C204">
            <v>298</v>
          </cell>
          <cell r="D204" t="str">
            <v>SPACE</v>
          </cell>
          <cell r="E204">
            <v>55</v>
          </cell>
          <cell r="F204">
            <v>8</v>
          </cell>
          <cell r="G204" t="str">
            <v>M.</v>
          </cell>
        </row>
        <row r="205">
          <cell r="C205">
            <v>299</v>
          </cell>
          <cell r="D205" t="str">
            <v>OUTDOOR BUSDUCT</v>
          </cell>
          <cell r="E205">
            <v>74</v>
          </cell>
          <cell r="F205">
            <v>11</v>
          </cell>
          <cell r="G205" t="str">
            <v>M.</v>
          </cell>
        </row>
        <row r="206">
          <cell r="C206">
            <v>871</v>
          </cell>
          <cell r="D206" t="str">
            <v>-  AL. BUSDUCT (OUTDOOR) 800 A.</v>
          </cell>
          <cell r="E206">
            <v>18000</v>
          </cell>
          <cell r="F206">
            <v>500</v>
          </cell>
          <cell r="G206" t="str">
            <v>M.</v>
          </cell>
        </row>
        <row r="207">
          <cell r="C207">
            <v>872</v>
          </cell>
          <cell r="D207" t="str">
            <v>-  AL. BUSDUCT (OUTDOOR) 1,000 A.</v>
          </cell>
          <cell r="E207">
            <v>20000</v>
          </cell>
          <cell r="F207">
            <v>500</v>
          </cell>
          <cell r="G207" t="str">
            <v>M.</v>
          </cell>
        </row>
        <row r="208">
          <cell r="C208">
            <v>873</v>
          </cell>
          <cell r="D208" t="str">
            <v>-  AL. BUSDUCT (OUTDOOR) 1,200 A.</v>
          </cell>
          <cell r="E208">
            <v>21000</v>
          </cell>
          <cell r="F208">
            <v>700</v>
          </cell>
          <cell r="G208" t="str">
            <v>M.</v>
          </cell>
        </row>
        <row r="209">
          <cell r="C209">
            <v>874</v>
          </cell>
          <cell r="D209" t="str">
            <v>-  AL. BUSDUCT (OUTDOOR) 1,350 A.</v>
          </cell>
          <cell r="E209">
            <v>22000</v>
          </cell>
          <cell r="F209">
            <v>700</v>
          </cell>
          <cell r="G209" t="str">
            <v>M.</v>
          </cell>
        </row>
        <row r="210">
          <cell r="C210">
            <v>875</v>
          </cell>
          <cell r="D210" t="str">
            <v>-  AL. BUSDUCT (OUTDOOR) 1,600 A.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876</v>
          </cell>
          <cell r="D211" t="str">
            <v>-  AL. BUSDUCT (OUTDOOR) 2,000 A.</v>
          </cell>
          <cell r="E211">
            <v>30000</v>
          </cell>
          <cell r="F211">
            <v>800</v>
          </cell>
          <cell r="G211" t="str">
            <v>M.</v>
          </cell>
        </row>
        <row r="212">
          <cell r="C212">
            <v>877</v>
          </cell>
          <cell r="D212" t="str">
            <v>-  AL. BUSDUCT (OUTDOOR) 2,500 A.</v>
          </cell>
          <cell r="E212">
            <v>33000</v>
          </cell>
          <cell r="F212">
            <v>1000</v>
          </cell>
          <cell r="G212" t="str">
            <v>M.</v>
          </cell>
        </row>
        <row r="213">
          <cell r="C213">
            <v>878</v>
          </cell>
          <cell r="D213" t="str">
            <v>-  AL. BUSDUCT (OUTDOOR) 3,000 A.</v>
          </cell>
          <cell r="E213">
            <v>40000</v>
          </cell>
          <cell r="F213">
            <v>1000</v>
          </cell>
          <cell r="G213" t="str">
            <v>M.</v>
          </cell>
        </row>
        <row r="214">
          <cell r="C214">
            <v>879</v>
          </cell>
          <cell r="D214" t="str">
            <v>-  AL. BUSDUCT (OUTDOOR) 4,000 A.</v>
          </cell>
          <cell r="E214">
            <v>53000</v>
          </cell>
          <cell r="F214">
            <v>1000</v>
          </cell>
          <cell r="G214" t="str">
            <v>M.</v>
          </cell>
        </row>
        <row r="215">
          <cell r="C215">
            <v>880</v>
          </cell>
          <cell r="D215" t="str">
            <v>-  CU BUSDUCT (OUTDOOR) 800 A.</v>
          </cell>
          <cell r="E215">
            <v>22000</v>
          </cell>
          <cell r="F215">
            <v>500</v>
          </cell>
          <cell r="G215" t="str">
            <v>M.</v>
          </cell>
        </row>
        <row r="216">
          <cell r="C216">
            <v>881</v>
          </cell>
          <cell r="D216" t="str">
            <v>-  CU. BUSDUCT (OUTDOOR) 1,000 A.</v>
          </cell>
          <cell r="E216">
            <v>24000</v>
          </cell>
          <cell r="F216">
            <v>500</v>
          </cell>
          <cell r="G216" t="str">
            <v>M.</v>
          </cell>
        </row>
        <row r="217">
          <cell r="C217">
            <v>882</v>
          </cell>
          <cell r="D217" t="str">
            <v>-  CU. BUSDUCT (OUTDOOR) 1,200 A.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-  CU. BUSDUCT (OUTDOOR) 1,350 A.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884</v>
          </cell>
          <cell r="D219" t="str">
            <v>-  CU. BUSDUCT (OUTDOOR) 1,600 A.</v>
          </cell>
          <cell r="E219">
            <v>32000</v>
          </cell>
          <cell r="F219">
            <v>800</v>
          </cell>
          <cell r="G219" t="str">
            <v>M.</v>
          </cell>
        </row>
        <row r="220">
          <cell r="C220">
            <v>885</v>
          </cell>
          <cell r="D220" t="str">
            <v>-  CU. BUSDUCT (OUTDOOR) 2,000 A.</v>
          </cell>
          <cell r="E220">
            <v>33000</v>
          </cell>
          <cell r="F220">
            <v>800</v>
          </cell>
          <cell r="G220" t="str">
            <v>M.</v>
          </cell>
        </row>
        <row r="221">
          <cell r="C221">
            <v>886</v>
          </cell>
          <cell r="D221" t="str">
            <v>-  CU. BUSDUCT (OUTDOOR) 2,500 A.</v>
          </cell>
          <cell r="E221">
            <v>50000</v>
          </cell>
          <cell r="F221">
            <v>1000</v>
          </cell>
          <cell r="G221" t="str">
            <v>M.</v>
          </cell>
        </row>
        <row r="222">
          <cell r="C222">
            <v>887</v>
          </cell>
          <cell r="D222" t="str">
            <v>-  CU. BUSDUCT (OUTDOOR) 3,000 A.</v>
          </cell>
          <cell r="E222">
            <v>58000</v>
          </cell>
          <cell r="F222">
            <v>1000</v>
          </cell>
          <cell r="G222" t="str">
            <v>M.</v>
          </cell>
        </row>
        <row r="223">
          <cell r="C223">
            <v>888</v>
          </cell>
          <cell r="D223" t="str">
            <v>-  CU. BUSDUCT (OUTDOOR) 4,000 A.</v>
          </cell>
          <cell r="E223">
            <v>67000</v>
          </cell>
          <cell r="F223">
            <v>1000</v>
          </cell>
          <cell r="G223" t="str">
            <v>M.</v>
          </cell>
        </row>
        <row r="224">
          <cell r="C224">
            <v>889</v>
          </cell>
          <cell r="D224" t="str">
            <v>-  CU. BUSDUCT (OUTDOOR) 5,000 A.</v>
          </cell>
          <cell r="E224">
            <v>80000</v>
          </cell>
          <cell r="F224">
            <v>1000</v>
          </cell>
          <cell r="G224" t="str">
            <v>M.</v>
          </cell>
        </row>
        <row r="225">
          <cell r="C225">
            <v>324</v>
          </cell>
          <cell r="D225" t="str">
            <v>SPACE</v>
          </cell>
          <cell r="E225">
            <v>1258</v>
          </cell>
          <cell r="F225">
            <v>110</v>
          </cell>
          <cell r="G225" t="str">
            <v>M.</v>
          </cell>
        </row>
        <row r="226">
          <cell r="C226">
            <v>325</v>
          </cell>
          <cell r="D226" t="str">
            <v>-  3/C - 120 SQ.MM. 12/20(24) KVCV</v>
          </cell>
          <cell r="E226">
            <v>1613</v>
          </cell>
          <cell r="F226">
            <v>120</v>
          </cell>
          <cell r="G226" t="str">
            <v>M.</v>
          </cell>
        </row>
        <row r="227">
          <cell r="C227">
            <v>326</v>
          </cell>
          <cell r="D227" t="str">
            <v>-  3/C - 150 SQ.MM. 12/20(24) KVCV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327</v>
          </cell>
          <cell r="D228" t="str">
            <v>-  3/C - 185 SQ.MM. 12/20(24) KVCV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328</v>
          </cell>
          <cell r="D229" t="str">
            <v>-  3/C - 240 SQ.MM. 12/20(24) KVCV</v>
          </cell>
          <cell r="E229">
            <v>2566</v>
          </cell>
          <cell r="F229">
            <v>160</v>
          </cell>
          <cell r="G229" t="str">
            <v>M.</v>
          </cell>
        </row>
        <row r="230">
          <cell r="C230">
            <v>329</v>
          </cell>
          <cell r="D230" t="str">
            <v>-  3/C - 300 SQ.MM. 12/20(24) KVCV</v>
          </cell>
          <cell r="E230">
            <v>3084</v>
          </cell>
          <cell r="F230">
            <v>180</v>
          </cell>
          <cell r="G230" t="str">
            <v>M.</v>
          </cell>
        </row>
        <row r="231">
          <cell r="C231">
            <v>330</v>
          </cell>
          <cell r="D231" t="str">
            <v>-  3/C - 400 SQ.MM. 12/20(24) KVCV</v>
          </cell>
          <cell r="E231">
            <v>3712</v>
          </cell>
          <cell r="F231">
            <v>200</v>
          </cell>
          <cell r="G231" t="str">
            <v>M.</v>
          </cell>
        </row>
        <row r="232">
          <cell r="C232">
            <v>331</v>
          </cell>
          <cell r="D232" t="str">
            <v>-  1/C - 35 SQ.MM. 18/30(36) KVCV</v>
          </cell>
          <cell r="E232">
            <v>260</v>
          </cell>
          <cell r="F232">
            <v>60</v>
          </cell>
          <cell r="G232" t="str">
            <v>M.</v>
          </cell>
        </row>
        <row r="233">
          <cell r="C233">
            <v>332</v>
          </cell>
          <cell r="D233" t="str">
            <v>-  1/C - 50 SQ.MM. 18/30(36) KVCV</v>
          </cell>
          <cell r="E233">
            <v>281</v>
          </cell>
          <cell r="F233">
            <v>70</v>
          </cell>
          <cell r="G233" t="str">
            <v>M.</v>
          </cell>
        </row>
        <row r="234">
          <cell r="C234">
            <v>333</v>
          </cell>
          <cell r="D234" t="str">
            <v>-  1/C - 70 SQ.MM. 18/30(36) KVCV</v>
          </cell>
          <cell r="E234">
            <v>325</v>
          </cell>
          <cell r="F234">
            <v>75</v>
          </cell>
          <cell r="G234" t="str">
            <v>M.</v>
          </cell>
        </row>
        <row r="235">
          <cell r="C235">
            <v>334</v>
          </cell>
          <cell r="D235" t="str">
            <v>-  1/C - 95 SQ.MM. 18/30(36) KVCV</v>
          </cell>
          <cell r="E235">
            <v>396</v>
          </cell>
          <cell r="F235">
            <v>80</v>
          </cell>
          <cell r="G235" t="str">
            <v>M.</v>
          </cell>
        </row>
        <row r="236">
          <cell r="C236">
            <v>335</v>
          </cell>
          <cell r="D236" t="str">
            <v>-  1/C - 120 SQ.MM. 18/30(36) KVCV</v>
          </cell>
          <cell r="E236">
            <v>490</v>
          </cell>
          <cell r="F236">
            <v>85</v>
          </cell>
          <cell r="G236" t="str">
            <v>M.</v>
          </cell>
        </row>
        <row r="237">
          <cell r="C237">
            <v>336</v>
          </cell>
          <cell r="D237" t="str">
            <v>-  1/C - 150 SQ.MM. 18/30(36) KVCV</v>
          </cell>
          <cell r="E237">
            <v>560</v>
          </cell>
          <cell r="F237">
            <v>90</v>
          </cell>
          <cell r="G237" t="str">
            <v>M.</v>
          </cell>
        </row>
        <row r="238">
          <cell r="C238">
            <v>337</v>
          </cell>
          <cell r="D238" t="str">
            <v>-  1/C - 185 SQ.MM. 18/30(36) KVCV</v>
          </cell>
          <cell r="E238">
            <v>654</v>
          </cell>
          <cell r="F238">
            <v>100</v>
          </cell>
          <cell r="G238" t="str">
            <v>M.</v>
          </cell>
        </row>
        <row r="239">
          <cell r="C239">
            <v>338</v>
          </cell>
          <cell r="D239" t="str">
            <v>-  1/C - 240 SQ.MM. 18/30(36) KVCV</v>
          </cell>
          <cell r="E239">
            <v>802</v>
          </cell>
          <cell r="F239">
            <v>110</v>
          </cell>
          <cell r="G239" t="str">
            <v>M.</v>
          </cell>
        </row>
        <row r="240">
          <cell r="C240">
            <v>339</v>
          </cell>
          <cell r="D240" t="str">
            <v>-  1/C - 300 SQ.MM. 18/30(36) KVCV</v>
          </cell>
          <cell r="E240">
            <v>962</v>
          </cell>
          <cell r="F240">
            <v>130</v>
          </cell>
          <cell r="G240" t="str">
            <v>M.</v>
          </cell>
        </row>
        <row r="241">
          <cell r="C241">
            <v>340</v>
          </cell>
          <cell r="D241" t="str">
            <v>-  1/C - 400 SQ.MM. 18/30(36) KVCV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341</v>
          </cell>
          <cell r="D242" t="str">
            <v>-  3/C - 50 SQ.MM. 18/30(36) KVCV</v>
          </cell>
          <cell r="E242">
            <v>930</v>
          </cell>
          <cell r="F242">
            <v>100</v>
          </cell>
          <cell r="G242" t="str">
            <v>M.</v>
          </cell>
        </row>
        <row r="243">
          <cell r="C243">
            <v>342</v>
          </cell>
          <cell r="D243" t="str">
            <v>-  3/C - 70 SQ.MM. 18/30(36) KVCV</v>
          </cell>
          <cell r="E243">
            <v>1088</v>
          </cell>
          <cell r="F243">
            <v>110</v>
          </cell>
          <cell r="G243" t="str">
            <v>M.</v>
          </cell>
        </row>
        <row r="244">
          <cell r="C244">
            <v>343</v>
          </cell>
          <cell r="D244" t="str">
            <v>-  3/C - 95 SQ.MM. 18/30(36) KVCV</v>
          </cell>
          <cell r="E244">
            <v>1303</v>
          </cell>
          <cell r="F244">
            <v>130</v>
          </cell>
          <cell r="G244" t="str">
            <v>M.</v>
          </cell>
        </row>
        <row r="245">
          <cell r="C245">
            <v>344</v>
          </cell>
          <cell r="D245" t="str">
            <v>-  3/C - 120 SQ.MM. 18/30(36) KVCV</v>
          </cell>
          <cell r="E245">
            <v>1670</v>
          </cell>
          <cell r="F245">
            <v>150</v>
          </cell>
          <cell r="G245" t="str">
            <v>M.</v>
          </cell>
        </row>
        <row r="246">
          <cell r="C246">
            <v>345</v>
          </cell>
          <cell r="D246" t="str">
            <v>-  3/C - 150 SQ.MM. 18/30(36) KVCV</v>
          </cell>
          <cell r="E246">
            <v>1897</v>
          </cell>
          <cell r="F246">
            <v>170</v>
          </cell>
          <cell r="G246" t="str">
            <v>M.</v>
          </cell>
        </row>
        <row r="247">
          <cell r="C247">
            <v>346</v>
          </cell>
          <cell r="D247" t="str">
            <v>-  3/C - 185 SQ.MM. 18/30(36) KVCV</v>
          </cell>
          <cell r="E247">
            <v>2206</v>
          </cell>
          <cell r="F247">
            <v>180</v>
          </cell>
          <cell r="G247" t="str">
            <v>M.</v>
          </cell>
        </row>
        <row r="248">
          <cell r="C248">
            <v>347</v>
          </cell>
          <cell r="D248" t="str">
            <v>-  3/C - 240 SQ.MM. 18/30(36) KVCV</v>
          </cell>
          <cell r="E248">
            <v>2660</v>
          </cell>
          <cell r="F248">
            <v>200</v>
          </cell>
          <cell r="G248" t="str">
            <v>M.</v>
          </cell>
        </row>
        <row r="249">
          <cell r="C249">
            <v>348</v>
          </cell>
          <cell r="D249" t="str">
            <v>-  3/C - 300 SQ.MM. 18/30(36) KVCV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349</v>
          </cell>
          <cell r="D250" t="str">
            <v>-  3/C - 400 SQ.MM. 18/30(36) KVCV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SPACE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351</v>
          </cell>
          <cell r="D252" t="str">
            <v>-  1/C - 25 SQ.MM. 25 KV.XLPE</v>
          </cell>
          <cell r="E252">
            <v>0</v>
          </cell>
          <cell r="F252">
            <v>0</v>
          </cell>
          <cell r="G252" t="str">
            <v>M.</v>
          </cell>
        </row>
        <row r="253">
          <cell r="C253">
            <v>352</v>
          </cell>
          <cell r="D253" t="str">
            <v>-  1/C - 35 SQ.MM. 25 KV.XLPE</v>
          </cell>
          <cell r="E253">
            <v>305</v>
          </cell>
          <cell r="F253">
            <v>35</v>
          </cell>
          <cell r="G253" t="str">
            <v>M.</v>
          </cell>
        </row>
        <row r="254">
          <cell r="C254">
            <v>353</v>
          </cell>
          <cell r="D254" t="str">
            <v>-  1/C - 50 SQ.MM. 25 KV.XLPE</v>
          </cell>
          <cell r="E254">
            <v>345</v>
          </cell>
          <cell r="F254">
            <v>40</v>
          </cell>
          <cell r="G254" t="str">
            <v>M.</v>
          </cell>
        </row>
        <row r="255">
          <cell r="C255">
            <v>354</v>
          </cell>
          <cell r="D255" t="str">
            <v>-  1/C - 70 SQ.MM. 25 KV.XLPE</v>
          </cell>
          <cell r="E255">
            <v>415</v>
          </cell>
          <cell r="F255">
            <v>60</v>
          </cell>
          <cell r="G255" t="str">
            <v>M.</v>
          </cell>
        </row>
        <row r="256">
          <cell r="C256">
            <v>355</v>
          </cell>
          <cell r="D256" t="str">
            <v>-  1/C - 95 SQ.MM. 25 KV.XLPE</v>
          </cell>
          <cell r="E256">
            <v>515</v>
          </cell>
          <cell r="F256">
            <v>70</v>
          </cell>
          <cell r="G256" t="str">
            <v>M.</v>
          </cell>
        </row>
        <row r="257">
          <cell r="C257">
            <v>356</v>
          </cell>
          <cell r="D257" t="str">
            <v>-  1/C - 120 SQ.MM. 25 KV.XLPE</v>
          </cell>
          <cell r="E257">
            <v>605</v>
          </cell>
          <cell r="F257">
            <v>75</v>
          </cell>
          <cell r="G257" t="str">
            <v>M.</v>
          </cell>
        </row>
        <row r="258">
          <cell r="C258">
            <v>357</v>
          </cell>
          <cell r="D258" t="str">
            <v>-  1/C - 150 SQ.MM. 25 KV.XLPE</v>
          </cell>
          <cell r="E258">
            <v>705</v>
          </cell>
          <cell r="F258">
            <v>80</v>
          </cell>
          <cell r="G258" t="str">
            <v>M.</v>
          </cell>
        </row>
        <row r="259">
          <cell r="C259">
            <v>358</v>
          </cell>
          <cell r="D259" t="str">
            <v>-  1/C - 185 SQ.MM. 25 KV.XLPE</v>
          </cell>
          <cell r="E259">
            <v>835</v>
          </cell>
          <cell r="F259">
            <v>85</v>
          </cell>
          <cell r="G259" t="str">
            <v>M.</v>
          </cell>
        </row>
        <row r="260">
          <cell r="C260">
            <v>359</v>
          </cell>
          <cell r="D260" t="str">
            <v>-  1/C - 240 SQ.MM. 25 KV.XLPE</v>
          </cell>
          <cell r="E260">
            <v>995</v>
          </cell>
          <cell r="F260">
            <v>90</v>
          </cell>
          <cell r="G260" t="str">
            <v>M.</v>
          </cell>
        </row>
        <row r="261">
          <cell r="C261">
            <v>360</v>
          </cell>
          <cell r="D261" t="str">
            <v>-  1/C - 35 SQ.MM. 35 KV.XLPE</v>
          </cell>
          <cell r="E261">
            <v>0</v>
          </cell>
          <cell r="F261">
            <v>60</v>
          </cell>
          <cell r="G261" t="str">
            <v>M.</v>
          </cell>
        </row>
        <row r="262">
          <cell r="C262">
            <v>361</v>
          </cell>
          <cell r="D262" t="str">
            <v>-  1/C - 50 SQ.MM. 35 KV.XLPE</v>
          </cell>
          <cell r="E262">
            <v>0</v>
          </cell>
          <cell r="F262">
            <v>70</v>
          </cell>
          <cell r="G262" t="str">
            <v>M.</v>
          </cell>
        </row>
        <row r="263">
          <cell r="C263">
            <v>362</v>
          </cell>
          <cell r="D263" t="str">
            <v>-  1/C - 70 SQ.MM. 35 KV.XLPE</v>
          </cell>
          <cell r="E263">
            <v>0</v>
          </cell>
          <cell r="F263">
            <v>75</v>
          </cell>
          <cell r="G263" t="str">
            <v>M.</v>
          </cell>
        </row>
        <row r="264">
          <cell r="C264">
            <v>363</v>
          </cell>
          <cell r="D264" t="str">
            <v>-  1/C - 95 SQ.MM. 35 KV.XLPE</v>
          </cell>
          <cell r="E264">
            <v>0</v>
          </cell>
          <cell r="F264">
            <v>80</v>
          </cell>
          <cell r="G264" t="str">
            <v>M.</v>
          </cell>
        </row>
        <row r="265">
          <cell r="C265">
            <v>364</v>
          </cell>
          <cell r="D265" t="str">
            <v>-  1/C - 120 SQ.MM. 35 KV.XLPE</v>
          </cell>
          <cell r="E265">
            <v>0</v>
          </cell>
          <cell r="F265">
            <v>85</v>
          </cell>
          <cell r="G265" t="str">
            <v>M.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>
        <row r="1">
          <cell r="C1">
            <v>0</v>
          </cell>
        </row>
      </sheetData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>
        <row r="1">
          <cell r="C1">
            <v>0</v>
          </cell>
        </row>
      </sheetData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1">
          <cell r="C1">
            <v>0</v>
          </cell>
        </row>
      </sheetData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PUMP"/>
      <sheetName val="REC(CHP)"/>
      <sheetName val="REC(HOB)"/>
      <sheetName val="Piping Design Data"/>
      <sheetName val="FAB별"/>
      <sheetName val="Main"/>
      <sheetName val="Data"/>
      <sheetName val="기준"/>
      <sheetName val="예산M12A"/>
      <sheetName val="DATE"/>
      <sheetName val="1단계"/>
      <sheetName val="PROJECT"/>
      <sheetName val="BQ"/>
      <sheetName val="CAL."/>
      <sheetName val="CAL"/>
      <sheetName val="lookup"/>
      <sheetName val="SKETCH"/>
      <sheetName val="F-Assump"/>
      <sheetName val="Sheet1"/>
      <sheetName val="CAT_5"/>
      <sheetName val="노원열병합  건축공사기성내역서"/>
      <sheetName val="BID"/>
      <sheetName val="Q827"/>
      <sheetName val="예산서"/>
      <sheetName val="ITB COST"/>
      <sheetName val="단가대비"/>
      <sheetName val="TEL"/>
      <sheetName val="부대대비"/>
      <sheetName val="냉연집계"/>
      <sheetName val="차액보증"/>
      <sheetName val="적용환율"/>
      <sheetName val="산근"/>
      <sheetName val="노임"/>
      <sheetName val="FR"/>
      <sheetName val="Bill No. 2 - Carpark"/>
      <sheetName val="電気設備表"/>
      <sheetName val="간접비내역-1"/>
      <sheetName val="040"/>
      <sheetName val="0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ummary"/>
      <sheetName val="V1"/>
      <sheetName val="V1A"/>
      <sheetName val="V1B"/>
      <sheetName val="V2"/>
      <sheetName val="A"/>
      <sheetName val="B1"/>
      <sheetName val="B2"/>
      <sheetName val="B4"/>
      <sheetName val="C1"/>
      <sheetName val="C2"/>
      <sheetName val="C3"/>
      <sheetName val="D1"/>
      <sheetName val="D3"/>
      <sheetName val="D4"/>
      <sheetName val="D5"/>
      <sheetName val="S"/>
      <sheetName val="B5"/>
    </sheetNames>
    <sheetDataSet>
      <sheetData sheetId="0">
        <row r="2">
          <cell r="F2">
            <v>80</v>
          </cell>
        </row>
        <row r="3">
          <cell r="E3">
            <v>125</v>
          </cell>
          <cell r="F3">
            <v>160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_PRICE WO ใหญ่"/>
      <sheetName val="UNIT_PRICE WO ใหญ่ (47)"/>
      <sheetName val="UNIT_PRICE WO ใหญ่ (31-05-47)"/>
      <sheetName val="UNIT_PRICE WO ใหญ่ (30-11-47)"/>
      <sheetName val="BC.01"/>
      <sheetName val="UNIT_PRICE WO ย่อย"/>
      <sheetName val="สารบัญ"/>
      <sheetName val="Criterion"/>
      <sheetName val="หน่วยราคา เพิ่ม-ลด (โครงสร้าง)"/>
      <sheetName val="เสา HC  ,C"/>
      <sheetName val="บันได"/>
      <sheetName val="คานหล่อในที่"/>
      <sheetName val="พื้น ค.ส.ล."/>
      <sheetName val="ผนังหล่อในที่"/>
      <sheetName val="ครีบ คสล. (บูรณะ)"/>
      <sheetName val="พื้น S (บูรณะ)"/>
      <sheetName val="Pile_Bu_12-01-48"/>
      <sheetName val="ใบสรุป Pile (Vira)"/>
      <sheetName val="หน่วยราคา เพิ่ม-ลด (หลังคา)"/>
      <sheetName val="ROOF Burana"/>
      <sheetName val="หน่วยราคา เพิ่ม-ลด  (พื้น)"/>
      <sheetName val="ปาเก้"/>
      <sheetName val="Cost_Detail"/>
      <sheetName val="หน่วยราคา เพิ่ม-ลด  (ผนัง)"/>
      <sheetName val="D&amp;W"/>
      <sheetName val="หน่วยราคา เพิ่ม-ลด  (ฝ้าเพดาน)"/>
      <sheetName val="BOQ ต้นทุน งานฝ้าเพดาน"/>
      <sheetName val="หน่วยราคา เพิ่ม-ลด  (ปป-สุขาภิ)"/>
      <sheetName val="บ่อเกรอะ-มาตราฐาน"/>
      <sheetName val="ท่อระบายน้ำ U ค.ส.ล."/>
      <sheetName val="ราคาถัง (15-03-48)"/>
      <sheetName val="Sanitary Ware (010348)"/>
      <sheetName val="หน่วยราคา เพิ่ม-ลด  (ไฟฟ้า)"/>
      <sheetName val="Elec_Square D (27-01-48)"/>
      <sheetName val="หน่วยราคา เพิ่ม-ลด  (สี)"/>
      <sheetName val="BOQ ต้นทุน งานสี ICI"/>
      <sheetName val="BOQ ต้นทุน งานสี TOA"/>
      <sheetName val="หน่วยราคา เพิ่ม-ลด  (เบ็ดเตล็ด)"/>
      <sheetName val="หน่วยราคา เพิ่ม-ลด  (ALL)"/>
      <sheetName val="มุ้งลวด-เหล็กดัด"/>
      <sheetName val="หินอ่อน"/>
      <sheetName val="ราคาลูกกรงเหล็ก C3"/>
      <sheetName val="งานผนังก่อ"/>
      <sheetName val="งานเข็ม+ค่าแรง CP"/>
      <sheetName val="Pile_Bu_ก่อนปรับ 8-11-47"/>
      <sheetName val="Pile_Bu_12-47"/>
      <sheetName val="PILE"/>
      <sheetName val="งานเพิ่มขนาดเอ็นบน W"/>
      <sheetName val="รั้ว SC"/>
      <sheetName val="รั้ว SC อิฐบล๊อค"/>
      <sheetName val="รั้ว SC อิฐบล๊อค โปร่ง2แถวบน"/>
      <sheetName val="รั้ว SC A_8378"/>
      <sheetName val="เสารั้ว SC ค1"/>
      <sheetName val="รั้ว SC ค1"/>
      <sheetName val="รั้ว SC ค2"/>
      <sheetName val="รั้ว SC ค3"/>
      <sheetName val="เสารั้ว SC C"/>
      <sheetName val="รั้ว SC C 0.50"/>
      <sheetName val="รั้ว SC C 0.60"/>
      <sheetName val="รั้ว SC D 0.70"/>
      <sheetName val="รั้ว SC D 1.10"/>
      <sheetName val="รั้ว SC F 1.40"/>
      <sheetName val="รั้ว-Bu-200947"/>
      <sheetName val="รั้ว SC_Inst_Supat"/>
      <sheetName val="ค่าขนส่ง งานรั้ว"/>
      <sheetName val="หินแกรนิต"/>
      <sheetName val="หินแกรนิต_OLD"/>
      <sheetName val="Sanitary Ware"/>
      <sheetName val="Sanitary Ware (150547)"/>
      <sheetName val="Sanitary Ware (020947)"/>
      <sheetName val="Sanitary Ware (161147)"/>
      <sheetName val="Price PIPE"/>
      <sheetName val="ROOF ข้อมูล จัดแล้ว"/>
      <sheetName val="D&amp;W_Acc."/>
      <sheetName val="Elec_Square D"/>
      <sheetName val="Elec_Square D (18-05-47)"/>
      <sheetName val="BOQ ต้นทุน งานพื้น"/>
      <sheetName val="BOQ ต้นทุน งานพื้น2"/>
      <sheetName val="รายละเอียด ฝ้าเพดา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ใบสรุปราคา"/>
      <sheetName val="สรุปหมวดงาน"/>
      <sheetName val="boq"/>
    </sheetNames>
    <sheetDataSet>
      <sheetData sheetId="0"/>
      <sheetData sheetId="1"/>
      <sheetData sheetId="2"/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"/>
      <sheetName val="UNITS_PILE_CAP"/>
      <sheetName val="ราคาต่อหน่วย - จำนวน เข็ม"/>
      <sheetName val="Total"/>
      <sheetName val="Total-Month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PV"/>
      <sheetName val="แบบ S"/>
      <sheetName val="แบบ T"/>
      <sheetName val="แบบ TP"/>
      <sheetName val="แบบ V"/>
      <sheetName val="แบบ Y"/>
    </sheetNames>
    <sheetDataSet>
      <sheetData sheetId="0" refreshError="1">
        <row r="20">
          <cell r="C20">
            <v>190</v>
          </cell>
        </row>
        <row r="21">
          <cell r="C21">
            <v>380</v>
          </cell>
        </row>
        <row r="22">
          <cell r="C22">
            <v>570</v>
          </cell>
        </row>
        <row r="23">
          <cell r="C23">
            <v>760</v>
          </cell>
        </row>
        <row r="24">
          <cell r="C24">
            <v>950</v>
          </cell>
        </row>
        <row r="25">
          <cell r="C25">
            <v>1140</v>
          </cell>
        </row>
        <row r="27">
          <cell r="C27">
            <v>800</v>
          </cell>
        </row>
        <row r="28">
          <cell r="C28">
            <v>161.244</v>
          </cell>
        </row>
        <row r="29">
          <cell r="C29">
            <v>441.988</v>
          </cell>
        </row>
        <row r="30">
          <cell r="C30">
            <v>1068.088</v>
          </cell>
        </row>
        <row r="31">
          <cell r="C31">
            <v>991.65200000000004</v>
          </cell>
        </row>
        <row r="32">
          <cell r="C32">
            <v>1871.748</v>
          </cell>
        </row>
        <row r="33">
          <cell r="C33">
            <v>161.244</v>
          </cell>
        </row>
        <row r="34">
          <cell r="C34">
            <v>508.82799999999997</v>
          </cell>
        </row>
        <row r="35">
          <cell r="C35">
            <v>1588.1</v>
          </cell>
        </row>
        <row r="36">
          <cell r="C36">
            <v>1250.5720000000001</v>
          </cell>
        </row>
        <row r="37">
          <cell r="C37">
            <v>2535.4760000000001</v>
          </cell>
        </row>
        <row r="38">
          <cell r="C38">
            <v>3343.576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 Dwg"/>
      <sheetName val="cov-estimate"/>
      <sheetName val="cov-tender"/>
      <sheetName val="cov-contract"/>
      <sheetName val="cov-final AC"/>
      <sheetName val="cov-contract 2"/>
      <sheetName val="content"/>
      <sheetName val="divider"/>
      <sheetName val="cov_estimate"/>
      <sheetName val="Package 3(Concourse)"/>
      <sheetName val="Package2 (MTB)"/>
      <sheetName val="Central Plant"/>
      <sheetName val="Comparison"/>
      <sheetName val="boq"/>
      <sheetName val="DETAIL "/>
      <sheetName val="SOR"/>
      <sheetName val="Q3-13 "/>
      <sheetName val="Cost Data"/>
      <sheetName val="Q2-55"/>
      <sheetName val="Q3-55"/>
      <sheetName val="Q4-55"/>
      <sheetName val="Q1-13"/>
      <sheetName val="Update"/>
      <sheetName val="สระน้ำหลัง BO"/>
      <sheetName val="สระน้ำ(ด้านทิศใต้อาคาร B)"/>
      <sheetName val="ราคาF6"/>
      <sheetName val="8 consume"/>
      <sheetName val="Breakdown"/>
      <sheetName val="1 Labour"/>
      <sheetName val="2 staff"/>
      <sheetName val="6 - Misc. EP"/>
      <sheetName val="BOX Cryostat Details"/>
      <sheetName val="Driver Linac Layout"/>
      <sheetName val="Inputs"/>
      <sheetName val="Magnet Details"/>
      <sheetName val="C-LOAD(L-FACTORY.)"/>
      <sheetName val="List"/>
      <sheetName val="MASTER"/>
      <sheetName val="data-Hilton"/>
      <sheetName val="AC"/>
      <sheetName val="SH-A"/>
      <sheetName val="SH-B"/>
      <sheetName val="SH-D"/>
      <sheetName val="SH-E"/>
      <sheetName val="SH-F"/>
      <sheetName val="SH-G"/>
      <sheetName val="SH-C"/>
      <sheetName val="Assumptions"/>
      <sheetName val="CC1"/>
      <sheetName val="CC2"/>
      <sheetName val="CC3"/>
      <sheetName val="CC4"/>
      <sheetName val="CC5"/>
      <sheetName val="CC6"/>
      <sheetName val="CC7"/>
      <sheetName val="CC8"/>
      <sheetName val="CC9"/>
      <sheetName val="1.1.1Gen"/>
      <sheetName val="1.1.2vehicle"/>
      <sheetName val="1.1.3Demobilize"/>
      <sheetName val="1.2Traffic"/>
      <sheetName val="1.3Envi"/>
      <sheetName val="1.4.1Test"/>
      <sheetName val="1.4.2Report"/>
      <sheetName val="2.1MainLine"/>
      <sheetName val="2.2Station"/>
      <sheetName val="4.1.1Pile"/>
      <sheetName val="4.1.2TBlock"/>
      <sheetName val="4.2Pier"/>
      <sheetName val="4.3Portal"/>
      <sheetName val="4.4Pad"/>
      <sheetName val="5.2.1Produce"/>
      <sheetName val="5.2.2Install"/>
      <sheetName val="5.3AR"/>
      <sheetName val="5.4E&amp;M"/>
      <sheetName val="6.1Yard"/>
      <sheetName val="6.2.1Pile"/>
      <sheetName val="6.2.2Pile Cap"/>
      <sheetName val="6.3.1Pier"/>
      <sheetName val="6.3.2XBeam"/>
      <sheetName val="6.3.3I-Girder"/>
      <sheetName val="6.4.1Roof"/>
      <sheetName val="6.4.2Stair"/>
      <sheetName val="6.4.3Slab"/>
      <sheetName val="Cov_Dwg"/>
      <sheetName val="cov-final_AC"/>
      <sheetName val="cov-contract_2"/>
      <sheetName val="สระน้ำหลัง_BO"/>
      <sheetName val="สระน้ำ(ด้านทิศใต้อาคาร_B)"/>
      <sheetName val="7-consume"/>
      <sheetName val="6-Equipment"/>
      <sheetName val="4-Local transport"/>
      <sheetName val="3 - Material"/>
      <sheetName val="Backup"/>
      <sheetName val="Sum"/>
      <sheetName val="code0"/>
      <sheetName val="COA-17"/>
      <sheetName val="C-18"/>
      <sheetName val="Cctmst"/>
      <sheetName val="Package_3(Concourse)"/>
      <sheetName val="Package2_(MTB)"/>
      <sheetName val="Central_Plant"/>
      <sheetName val="DETAIL_"/>
      <sheetName val="Q3-13_"/>
      <sheetName val="Auto Monthly Inputs "/>
      <sheetName val="code"/>
      <sheetName val="Ceil_"/>
      <sheetName val="Roof"/>
      <sheetName val="SanFix"/>
      <sheetName val="งานไฟฟ้า"/>
      <sheetName val="เครื่องปรับอากาศ"/>
      <sheetName val="ประปา+ดับเพิลง"/>
      <sheetName val="1"/>
      <sheetName val="VP 1"/>
      <sheetName val="2"/>
      <sheetName val="VP 2"/>
      <sheetName val="3"/>
      <sheetName val="VP 3"/>
      <sheetName val="4"/>
      <sheetName val="VP 4"/>
      <sheetName val="SUM-5.1"/>
      <sheetName val="5"/>
      <sheetName val="VP 5"/>
      <sheetName val="6"/>
      <sheetName val="7"/>
      <sheetName val="VP 7"/>
      <sheetName val="8"/>
      <sheetName val="VP 8"/>
      <sheetName val="9"/>
      <sheetName val="VP 9"/>
      <sheetName val="10"/>
      <sheetName val="VP 10"/>
      <sheetName val="11"/>
      <sheetName val="VP 11"/>
      <sheetName val="12"/>
      <sheetName val="VP 12"/>
      <sheetName val="13 ชั้น 7"/>
      <sheetName val="13 ชั้น 8"/>
      <sheetName val="14"/>
      <sheetName val="แก้ไข"/>
      <sheetName val="15"/>
      <sheetName val="15-R"/>
      <sheetName val="VP 15"/>
      <sheetName val="16"/>
      <sheetName val="VP 16"/>
      <sheetName val="17"/>
      <sheetName val="VP 17"/>
      <sheetName val="18"/>
      <sheetName val="19"/>
      <sheetName val="20"/>
      <sheetName val="SUM-21 ชั้น1,7,9,41"/>
      <sheetName val="21"/>
      <sheetName val="21.1"/>
      <sheetName val="21.2"/>
      <sheetName val="22"/>
      <sheetName val="23"/>
      <sheetName val="24"/>
      <sheetName val="Sum-25 ชั้น1,7,8,41,43,ลานจอดรถ"/>
      <sheetName val="25.1"/>
      <sheetName val="25.2"/>
      <sheetName val="25.3"/>
      <sheetName val="25.4"/>
      <sheetName val="Sum-26 ชั้น 1,7,41"/>
      <sheetName val="26.1"/>
      <sheetName val="26.2"/>
      <sheetName val="26.3"/>
      <sheetName val="27"/>
      <sheetName val="28"/>
      <sheetName val="29"/>
      <sheetName val="30"/>
      <sheetName val="31"/>
      <sheetName val="32"/>
      <sheetName val="33"/>
      <sheetName val="34"/>
      <sheetName val="35"/>
      <sheetName val="sum-35"/>
      <sheetName val="36"/>
      <sheetName val="Sheet2"/>
      <sheetName val="Sheet3"/>
      <sheetName val="MARGE"/>
      <sheetName val="Cov_Dwg1"/>
      <sheetName val="cov-final_AC1"/>
      <sheetName val="cov-contract_21"/>
      <sheetName val="สระน้ำหลัง_BO1"/>
      <sheetName val="สระน้ำ(ด้านทิศใต้อาคาร_B)1"/>
      <sheetName val="8_consume"/>
      <sheetName val="1_Labour"/>
      <sheetName val="2_staff"/>
      <sheetName val="6_-_Misc__EP"/>
      <sheetName val="C-LOAD(L-FACTORY_)"/>
      <sheetName val="Cost_Data"/>
      <sheetName val="BOX_Cryostat_Details"/>
      <sheetName val="Driver_Linac_Layout"/>
      <sheetName val="Magnet_Details"/>
      <sheetName val="1_1_1Gen"/>
      <sheetName val="1_1_2vehicle"/>
      <sheetName val="1_1_3Demobilize"/>
      <sheetName val="1_2Traffic"/>
      <sheetName val="1_3Envi"/>
      <sheetName val="1_4_1Test"/>
      <sheetName val="1_4_2Report"/>
      <sheetName val="2_1MainLine"/>
      <sheetName val="2_2Station"/>
      <sheetName val="4_1_1Pile"/>
      <sheetName val="4_1_2TBlock"/>
      <sheetName val="4_2Pier"/>
      <sheetName val="4_3Portal"/>
      <sheetName val="4_4Pad"/>
      <sheetName val="5_2_1Produce"/>
      <sheetName val="5_2_2Install"/>
      <sheetName val="5_3AR"/>
      <sheetName val="5_4E&amp;M"/>
      <sheetName val="6_1Yard"/>
      <sheetName val="6_2_1Pile"/>
      <sheetName val="6_2_2Pile_Cap"/>
      <sheetName val="6_3_1Pier"/>
      <sheetName val="6_3_2XBeam"/>
      <sheetName val="6_3_3I-Girder"/>
      <sheetName val="6_4_1Roof"/>
      <sheetName val="6_4_2Stair"/>
      <sheetName val="6_4_3Slab"/>
      <sheetName val="4-Local_transport"/>
      <sheetName val="3_-_Material"/>
      <sheetName val="Cov_Dwg2"/>
      <sheetName val="cov-final_AC2"/>
      <sheetName val="cov-contract_22"/>
      <sheetName val="DETAIL_1"/>
      <sheetName val="Q3-13_1"/>
      <sheetName val="Package_3(Concourse)1"/>
      <sheetName val="Package2_(MTB)1"/>
      <sheetName val="Central_Plant1"/>
      <sheetName val="สระน้ำหลัง_BO2"/>
      <sheetName val="สระน้ำ(ด้านทิศใต้อาคาร_B)2"/>
      <sheetName val="8_consume1"/>
      <sheetName val="1_Labour1"/>
      <sheetName val="2_staff1"/>
      <sheetName val="6_-_Misc__EP1"/>
      <sheetName val="C-LOAD(L-FACTORY_)1"/>
      <sheetName val="Cost_Data1"/>
      <sheetName val="BOX_Cryostat_Details1"/>
      <sheetName val="Driver_Linac_Layout1"/>
      <sheetName val="Magnet_Details1"/>
      <sheetName val="1_1_1Gen1"/>
      <sheetName val="1_1_2vehicle1"/>
      <sheetName val="1_1_3Demobilize1"/>
      <sheetName val="1_2Traffic1"/>
      <sheetName val="1_3Envi1"/>
      <sheetName val="1_4_1Test1"/>
      <sheetName val="1_4_2Report1"/>
      <sheetName val="2_1MainLine1"/>
      <sheetName val="2_2Station1"/>
      <sheetName val="4_1_1Pile1"/>
      <sheetName val="4_1_2TBlock1"/>
      <sheetName val="4_2Pier1"/>
      <sheetName val="4_3Portal1"/>
      <sheetName val="4_4Pad1"/>
      <sheetName val="5_2_1Produce1"/>
      <sheetName val="5_2_2Install1"/>
      <sheetName val="5_3AR1"/>
      <sheetName val="5_4E&amp;M1"/>
      <sheetName val="6_1Yard1"/>
      <sheetName val="6_2_1Pile1"/>
      <sheetName val="6_2_2Pile_Cap1"/>
      <sheetName val="6_3_1Pier1"/>
      <sheetName val="6_3_2XBeam1"/>
      <sheetName val="6_3_3I-Girder1"/>
      <sheetName val="6_4_1Roof1"/>
      <sheetName val="6_4_2Stair1"/>
      <sheetName val="6_4_3Slab1"/>
      <sheetName val="4-Local_transport1"/>
      <sheetName val="3_-_Material1"/>
      <sheetName val="5a.)LTV_1002-4001"/>
      <sheetName val="QUESTIONNAIRE"/>
      <sheetName val="Bill5-SUD"/>
      <sheetName val="Annex-Bill5"/>
      <sheetName val="Factor-G"/>
      <sheetName val="Prod-1"/>
      <sheetName val="อัตราส่วนผสมคอนกรีต"/>
      <sheetName val="Purchase Order"/>
      <sheetName val="Customize Your Purchase Order"/>
      <sheetName val="ราคารวม"/>
      <sheetName val="หมวดงานเตรียมการ"/>
      <sheetName val="หมวดงานวิศวกรรมโครงสร้าง"/>
      <sheetName val="หมวดงานสถาปัตยกรรม"/>
      <sheetName val="หมวดงานภายนอก "/>
      <sheetName val="Provisional Sum"/>
      <sheetName val="Cost impact"/>
      <sheetName val="Unit Rate"/>
      <sheetName val="Ceil."/>
      <sheetName val="งานภายนอก"/>
      <sheetName val="Wall"/>
      <sheetName val="Cost_Categories"/>
      <sheetName val="สรุป"/>
      <sheetName val="Order List"/>
      <sheetName val="6-asso"/>
      <sheetName val="CommonItems"/>
    </sheetNames>
    <sheetDataSet>
      <sheetData sheetId="0">
        <row r="4">
          <cell r="E4" t="str">
            <v>COST COMMENTARY REPORT</v>
          </cell>
        </row>
      </sheetData>
      <sheetData sheetId="1" refreshError="1">
        <row r="4">
          <cell r="E4" t="str">
            <v>COST COMMENTARY REPORT</v>
          </cell>
        </row>
        <row r="9">
          <cell r="E9" t="str">
            <v>on</v>
          </cell>
        </row>
        <row r="14">
          <cell r="E14" t="str">
            <v>GAYSORN PLAZA RENOVATION</v>
          </cell>
        </row>
        <row r="17">
          <cell r="E17" t="str">
            <v xml:space="preserve"> </v>
          </cell>
        </row>
        <row r="20">
          <cell r="E20" t="str">
            <v>for</v>
          </cell>
        </row>
        <row r="25">
          <cell r="E25" t="str">
            <v>HONG KONG LAND</v>
          </cell>
        </row>
        <row r="31">
          <cell r="E31" t="str">
            <v>9 March 2001</v>
          </cell>
        </row>
        <row r="35">
          <cell r="E35" t="str">
            <v xml:space="preserve"> </v>
          </cell>
        </row>
        <row r="36">
          <cell r="E36" t="str">
            <v>RIDER HUNT LEVETT &amp; BAILEY (THAILAND) LTD.</v>
          </cell>
        </row>
        <row r="37">
          <cell r="E37" t="str">
            <v>PITAK COURT, HOUSE NO. 29</v>
          </cell>
        </row>
        <row r="38">
          <cell r="E38" t="str">
            <v>43 SOI SATHORN 1, SOUTH SATHORN ROAD</v>
          </cell>
        </row>
        <row r="39">
          <cell r="E39" t="str">
            <v>TUNGMAHAMEAK, SATHORN, BANGKOK 10120 THAILAND</v>
          </cell>
        </row>
        <row r="41">
          <cell r="E41" t="str">
            <v>Tel: 286-0196-7          Fax: 286-0198</v>
          </cell>
        </row>
        <row r="44">
          <cell r="F44" t="str">
            <v>Ref. QS/W/181</v>
          </cell>
        </row>
        <row r="45">
          <cell r="E45" t="str">
            <v xml:space="preserve"> </v>
          </cell>
          <cell r="F45" t="str">
            <v>E/0102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4">
          <cell r="E4" t="str">
            <v>COST COMMENTARY REPORT</v>
          </cell>
        </row>
      </sheetData>
      <sheetData sheetId="110">
        <row r="4">
          <cell r="E4" t="str">
            <v>COST COMMENTARY REPORT</v>
          </cell>
        </row>
      </sheetData>
      <sheetData sheetId="111"/>
      <sheetData sheetId="112">
        <row r="4">
          <cell r="E4" t="str">
            <v>COST COMMENTARY REPORT</v>
          </cell>
        </row>
      </sheetData>
      <sheetData sheetId="113">
        <row r="4">
          <cell r="E4" t="str">
            <v>COST COMMENTARY REPORT</v>
          </cell>
        </row>
      </sheetData>
      <sheetData sheetId="114">
        <row r="4">
          <cell r="E4" t="str">
            <v>COST COMMENTARY REPORT</v>
          </cell>
        </row>
      </sheetData>
      <sheetData sheetId="115">
        <row r="4">
          <cell r="E4" t="str">
            <v>COST COMMENTARY REPORT</v>
          </cell>
        </row>
      </sheetData>
      <sheetData sheetId="116">
        <row r="4">
          <cell r="E4" t="str">
            <v>COST COMMENTARY REPORT</v>
          </cell>
        </row>
      </sheetData>
      <sheetData sheetId="117">
        <row r="4">
          <cell r="E4" t="str">
            <v>COST COMMENTARY REPORT</v>
          </cell>
        </row>
      </sheetData>
      <sheetData sheetId="118">
        <row r="4">
          <cell r="E4" t="str">
            <v>COST COMMENTARY REPORT</v>
          </cell>
        </row>
      </sheetData>
      <sheetData sheetId="119">
        <row r="4">
          <cell r="E4" t="str">
            <v>COST COMMENTARY REPORT</v>
          </cell>
        </row>
      </sheetData>
      <sheetData sheetId="120">
        <row r="4">
          <cell r="E4" t="str">
            <v>COST COMMENTARY REPORT</v>
          </cell>
        </row>
      </sheetData>
      <sheetData sheetId="121">
        <row r="4">
          <cell r="E4" t="str">
            <v>COST COMMENTARY REPORT</v>
          </cell>
        </row>
      </sheetData>
      <sheetData sheetId="122">
        <row r="4">
          <cell r="E4" t="str">
            <v>COST COMMENTARY REPORT</v>
          </cell>
        </row>
      </sheetData>
      <sheetData sheetId="123">
        <row r="4">
          <cell r="E4" t="str">
            <v>COST COMMENTARY REPORT</v>
          </cell>
        </row>
      </sheetData>
      <sheetData sheetId="124">
        <row r="4">
          <cell r="E4" t="str">
            <v>COST COMMENTARY REPORT</v>
          </cell>
        </row>
      </sheetData>
      <sheetData sheetId="125">
        <row r="4">
          <cell r="E4" t="str">
            <v>COST COMMENTARY REPORT</v>
          </cell>
        </row>
      </sheetData>
      <sheetData sheetId="126">
        <row r="4">
          <cell r="E4" t="str">
            <v>COST COMMENTARY REPORT</v>
          </cell>
        </row>
      </sheetData>
      <sheetData sheetId="127">
        <row r="4">
          <cell r="E4" t="str">
            <v>COST COMMENTARY REPORT</v>
          </cell>
        </row>
      </sheetData>
      <sheetData sheetId="128">
        <row r="4">
          <cell r="E4" t="str">
            <v>COST COMMENTARY REPORT</v>
          </cell>
        </row>
      </sheetData>
      <sheetData sheetId="129">
        <row r="4">
          <cell r="E4" t="str">
            <v>COST COMMENTARY REPORT</v>
          </cell>
        </row>
      </sheetData>
      <sheetData sheetId="130">
        <row r="4">
          <cell r="E4" t="str">
            <v>COST COMMENTARY REPORT</v>
          </cell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E4" t="str">
            <v>COST COMMENTARY REPORT</v>
          </cell>
        </row>
      </sheetData>
      <sheetData sheetId="181"/>
      <sheetData sheetId="182"/>
      <sheetData sheetId="183">
        <row r="4">
          <cell r="E4" t="str">
            <v>COST COMMENTARY REPORT</v>
          </cell>
        </row>
      </sheetData>
      <sheetData sheetId="184">
        <row r="4">
          <cell r="E4" t="str">
            <v>COST COMMENTARY REPORT</v>
          </cell>
        </row>
      </sheetData>
      <sheetData sheetId="185">
        <row r="4">
          <cell r="E4" t="str">
            <v>COST COMMENTARY REPORT</v>
          </cell>
        </row>
      </sheetData>
      <sheetData sheetId="186">
        <row r="4">
          <cell r="E4" t="str">
            <v>COST COMMENTARY REPORT</v>
          </cell>
        </row>
      </sheetData>
      <sheetData sheetId="187">
        <row r="4">
          <cell r="E4" t="str">
            <v>COST COMMENTARY REPORT</v>
          </cell>
        </row>
      </sheetData>
      <sheetData sheetId="188">
        <row r="4">
          <cell r="E4" t="str">
            <v>COST COMMENTARY REPORT</v>
          </cell>
        </row>
      </sheetData>
      <sheetData sheetId="189">
        <row r="4">
          <cell r="E4" t="str">
            <v>COST COMMENTARY REPORT</v>
          </cell>
        </row>
      </sheetData>
      <sheetData sheetId="190">
        <row r="4">
          <cell r="E4" t="str">
            <v>COST COMMENTARY REPORT</v>
          </cell>
        </row>
      </sheetData>
      <sheetData sheetId="191">
        <row r="4">
          <cell r="E4" t="str">
            <v>COST COMMENTARY REPORT</v>
          </cell>
        </row>
      </sheetData>
      <sheetData sheetId="192">
        <row r="4">
          <cell r="E4" t="str">
            <v>COST COMMENTARY REPORT</v>
          </cell>
        </row>
      </sheetData>
      <sheetData sheetId="193">
        <row r="4">
          <cell r="E4" t="str">
            <v>COST COMMENTARY REPORT</v>
          </cell>
        </row>
      </sheetData>
      <sheetData sheetId="194">
        <row r="4">
          <cell r="E4" t="str">
            <v>COST COMMENTARY REPORT</v>
          </cell>
        </row>
      </sheetData>
      <sheetData sheetId="195">
        <row r="4">
          <cell r="E4" t="str">
            <v>COST COMMENTARY REPORT</v>
          </cell>
        </row>
      </sheetData>
      <sheetData sheetId="196">
        <row r="4">
          <cell r="E4" t="str">
            <v>COST COMMENTARY REPORT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ROR_H9(TR1)"/>
      <sheetName val="MIROR_H15&lt;Face Life&gt;"/>
      <sheetName val="MIROR"/>
      <sheetName val="L.B._D&amp;W"/>
      <sheetName val="D&amp;W_Jamb_Casement"/>
      <sheetName val="D&amp;W_Accessories_Data"/>
      <sheetName val="D&amp;W_PRICE@"/>
      <sheetName val="D&amp;W_Accessories_Price"/>
      <sheetName val="D&amp;W_Price"/>
      <sheetName val="_DD1&lt;SC8366&gt;"/>
      <sheetName val="_DF74YR&lt;SC8366&gt;"/>
      <sheetName val="DS01R"/>
      <sheetName val="D64Z(H15 FL)"/>
      <sheetName val="D1"/>
      <sheetName val="D2"/>
      <sheetName val="D20D"/>
      <sheetName val="D21AR"/>
      <sheetName val="D64Z"/>
      <sheetName val="DS64Y"/>
      <sheetName val="D74Z"/>
      <sheetName val="B1"/>
      <sheetName val="B1A"/>
      <sheetName val="HDF,HDF1"/>
      <sheetName val="A14Z"/>
      <sheetName val="A14ZA"/>
      <sheetName val="A14ZFBW"/>
      <sheetName val="A15ZRW"/>
      <sheetName val="A16Z"/>
      <sheetName val="A16ZA"/>
      <sheetName val="A16ZW"/>
      <sheetName val="A25ZFBW"/>
      <sheetName val="AF23ZA"/>
      <sheetName val="AF25ZV"/>
      <sheetName val="F46V"/>
      <sheetName val="F22V"/>
      <sheetName val="L32"/>
      <sheetName val="M15R"/>
      <sheetName val="W10Z"/>
      <sheetName val="W10ZA"/>
      <sheetName val="W11Y (YW4)"/>
      <sheetName val="W21ZF"/>
      <sheetName val="W22Z"/>
      <sheetName val="W22ZA"/>
      <sheetName val="W23Z"/>
      <sheetName val="W23ZXA"/>
      <sheetName val="W23 (EW2)"/>
      <sheetName val="W23Y (YW7A)"/>
      <sheetName val="W23YX (HW2)"/>
      <sheetName val="W24ZA"/>
      <sheetName val="W255Z"/>
      <sheetName val="W46Z"/>
      <sheetName val="W46ZA"/>
      <sheetName val="W46ZB"/>
      <sheetName val="W46ZBA"/>
      <sheetName val="W53Z"/>
      <sheetName val="_W54YGR&lt;SC8366&gt;"/>
      <sheetName val="Y3D3"/>
    </sheetNames>
    <sheetDataSet>
      <sheetData sheetId="0" refreshError="1">
        <row r="9">
          <cell r="Y9">
            <v>1528.2</v>
          </cell>
          <cell r="Z9">
            <v>2284.1999999999998</v>
          </cell>
          <cell r="AA9">
            <v>1911.6</v>
          </cell>
          <cell r="AB9">
            <v>2430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ค่าวัสดุ"/>
      <sheetName val="สรุป"/>
      <sheetName val="เอกสารแน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C1" t="str">
            <v>รหัสวัสดุ/แรง</v>
          </cell>
          <cell r="D1" t="str">
            <v>รายการ</v>
          </cell>
          <cell r="E1" t="str">
            <v>ราคาต่อหน่วย2-2547 ยังไม่ vat</v>
          </cell>
          <cell r="F1" t="str">
            <v>ราคาต่อหน่วย 2-2547 VAT</v>
          </cell>
        </row>
        <row r="2">
          <cell r="C2" t="str">
            <v>CARV</v>
          </cell>
          <cell r="D2" t="str">
            <v>งานลายฉลุหน้าบ้าน</v>
          </cell>
        </row>
        <row r="3">
          <cell r="C3" t="str">
            <v>CONC</v>
          </cell>
          <cell r="D3" t="str">
            <v>ค่าแรงเทคอนกรีต</v>
          </cell>
        </row>
        <row r="4">
          <cell r="C4" t="str">
            <v>CUT/FILL</v>
          </cell>
          <cell r="D4" t="str">
            <v>ค่าแรงขุดดิน ถมดิน</v>
          </cell>
        </row>
        <row r="5">
          <cell r="C5" t="str">
            <v>F/W</v>
          </cell>
          <cell r="D5" t="str">
            <v>ค่าแรงเข้าแบบ(แบบเหล็ก)</v>
          </cell>
        </row>
        <row r="6">
          <cell r="C6" t="str">
            <v>GRTP</v>
          </cell>
          <cell r="D6" t="str">
            <v>ค่าแรงติดตั้งถังดักไขมัน</v>
          </cell>
        </row>
        <row r="7">
          <cell r="C7" t="str">
            <v>N1145006054</v>
          </cell>
          <cell r="D7" t="str">
            <v>วัสดุงานปาร์เก้ ทาวน์เฮ้าส์+บ้านแฝดแบบ A (หลัง)</v>
          </cell>
          <cell r="F7">
            <v>6400</v>
          </cell>
        </row>
        <row r="8">
          <cell r="C8" t="str">
            <v>N1145006055</v>
          </cell>
          <cell r="D8" t="str">
            <v>วัสดุงานปาร์เก้ ทาวน์เฮ้าส์+บ้านแฝดแบบ B (หลัง)</v>
          </cell>
          <cell r="F8">
            <v>6788</v>
          </cell>
        </row>
        <row r="9">
          <cell r="C9" t="str">
            <v>N1145006056</v>
          </cell>
          <cell r="D9" t="str">
            <v>วัสดุงานปาร์เก้ ทาวน์เฮ้าส์+บ้านแฝดแบบ C (หลัง)</v>
          </cell>
          <cell r="F9">
            <v>5884</v>
          </cell>
        </row>
        <row r="10">
          <cell r="C10" t="str">
            <v>N1145006057</v>
          </cell>
          <cell r="D10" t="str">
            <v>วัสดุงานไม้บันได ทาวน์เฮ้าส์+บ้านแฝดแบบ A (หลัง)</v>
          </cell>
          <cell r="F10">
            <v>7426</v>
          </cell>
        </row>
        <row r="11">
          <cell r="C11" t="str">
            <v>N1145006058</v>
          </cell>
          <cell r="D11" t="str">
            <v>วัสดุงานไม้บันได ทาวน์เฮ้าส์+บ้านแฝดแบบ B (หลัง)</v>
          </cell>
          <cell r="F11">
            <v>8975</v>
          </cell>
        </row>
        <row r="12">
          <cell r="C12" t="str">
            <v>N1145006059</v>
          </cell>
          <cell r="D12" t="str">
            <v>วัสดุงานไม้บันได ทาวน์เฮ้าส์+บ้านแฝดแบบ C (หลัง)</v>
          </cell>
          <cell r="F12">
            <v>7639.29</v>
          </cell>
        </row>
        <row r="13">
          <cell r="C13" t="str">
            <v>N114606010</v>
          </cell>
          <cell r="D13" t="str">
            <v>สีสเปรย์สีแดง</v>
          </cell>
          <cell r="E13">
            <v>35</v>
          </cell>
          <cell r="F13">
            <v>37.450000000000003</v>
          </cell>
        </row>
        <row r="14">
          <cell r="C14" t="str">
            <v>N114606011</v>
          </cell>
          <cell r="D14" t="str">
            <v>ใบไฟเบอร์ 16"</v>
          </cell>
          <cell r="F14">
            <v>0</v>
          </cell>
        </row>
        <row r="15">
          <cell r="C15" t="str">
            <v>N114606015</v>
          </cell>
          <cell r="D15" t="str">
            <v>สีสเปรย์สีส้ม</v>
          </cell>
          <cell r="E15">
            <v>35</v>
          </cell>
          <cell r="F15">
            <v>37.450000000000003</v>
          </cell>
        </row>
        <row r="16">
          <cell r="C16" t="str">
            <v>PCINST</v>
          </cell>
          <cell r="D16" t="str">
            <v>ค่าแรงเข้าแบบ(เสียบแผ่น PRECAST)</v>
          </cell>
          <cell r="F16">
            <v>0</v>
          </cell>
        </row>
        <row r="17">
          <cell r="C17" t="str">
            <v>R/F</v>
          </cell>
          <cell r="D17" t="str">
            <v>ค่าแรงวางเหล็กผูกเหล็ก</v>
          </cell>
          <cell r="F17">
            <v>0</v>
          </cell>
        </row>
        <row r="18">
          <cell r="C18" t="str">
            <v>S01RMIX001</v>
          </cell>
          <cell r="D18" t="str">
            <v>คอนกรีตผสมเสร็จ 180 CUBE</v>
          </cell>
          <cell r="E18">
            <v>1250</v>
          </cell>
          <cell r="F18">
            <v>1228.5</v>
          </cell>
        </row>
        <row r="19">
          <cell r="C19" t="str">
            <v>S01RMIX002</v>
          </cell>
          <cell r="D19" t="str">
            <v>คอนกรีตผสมเสร็จ 210 CUBE</v>
          </cell>
          <cell r="E19">
            <v>1254.5</v>
          </cell>
          <cell r="F19">
            <v>1280.5</v>
          </cell>
        </row>
        <row r="20">
          <cell r="C20" t="str">
            <v>S01RMIX003</v>
          </cell>
          <cell r="D20" t="str">
            <v>คอนกรีตผสมเสร็จ 240 CUBE</v>
          </cell>
          <cell r="E20">
            <v>1280.5</v>
          </cell>
          <cell r="F20">
            <v>1370.135</v>
          </cell>
        </row>
        <row r="21">
          <cell r="C21" t="str">
            <v>S01RMIX005</v>
          </cell>
          <cell r="D21" t="str">
            <v>คอนกรีต มอร์ตาร์</v>
          </cell>
          <cell r="E21">
            <v>1306.5</v>
          </cell>
          <cell r="F21">
            <v>1306.5</v>
          </cell>
        </row>
        <row r="22">
          <cell r="C22" t="str">
            <v>S01RMIX006</v>
          </cell>
          <cell r="D22" t="str">
            <v>คอนกรีต 275+D17</v>
          </cell>
          <cell r="E22">
            <v>1200</v>
          </cell>
          <cell r="F22">
            <v>1196.26</v>
          </cell>
        </row>
        <row r="23">
          <cell r="C23" t="str">
            <v>S01RMIX009</v>
          </cell>
          <cell r="D23" t="str">
            <v>คอนกรีตผสมเสร็จ 320 CUBE</v>
          </cell>
          <cell r="E23">
            <v>1358.5</v>
          </cell>
          <cell r="F23">
            <v>1358.5</v>
          </cell>
        </row>
        <row r="24">
          <cell r="C24" t="str">
            <v>S01RMIX014</v>
          </cell>
          <cell r="D24" t="str">
            <v>คอนกรีตผสมเสร็จ 350 CUBE 10-15 ซม.</v>
          </cell>
          <cell r="E24">
            <v>1475.5</v>
          </cell>
          <cell r="F24">
            <v>1475.5</v>
          </cell>
        </row>
        <row r="25">
          <cell r="C25" t="str">
            <v>S01RMIX015</v>
          </cell>
          <cell r="D25" t="str">
            <v>คอนกรีตผสมเสร็จ 350 CUBE</v>
          </cell>
          <cell r="E25">
            <v>1391</v>
          </cell>
          <cell r="F25">
            <v>1578.5</v>
          </cell>
        </row>
        <row r="26">
          <cell r="C26" t="str">
            <v>S01RMIX019</v>
          </cell>
          <cell r="D26" t="str">
            <v>คอนกรีตผสมเสร็จ 380 CUBE 15-20 ซม.</v>
          </cell>
          <cell r="E26">
            <v>1590</v>
          </cell>
          <cell r="F26">
            <v>1571</v>
          </cell>
        </row>
        <row r="27">
          <cell r="C27" t="str">
            <v>S01RMIX020</v>
          </cell>
          <cell r="D27" t="str">
            <v>คอนกรีตผสมเสร็จ 350 CUBE 15-20 ซม.</v>
          </cell>
          <cell r="E27">
            <v>1612</v>
          </cell>
          <cell r="F27">
            <v>1612</v>
          </cell>
        </row>
        <row r="28">
          <cell r="C28" t="str">
            <v>S02BLOC002</v>
          </cell>
          <cell r="D28" t="str">
            <v>Q-CON ขนาด 0.2x0.6 m. หนา 10 cm.</v>
          </cell>
          <cell r="E28">
            <v>31</v>
          </cell>
          <cell r="F28">
            <v>26.4</v>
          </cell>
        </row>
        <row r="29">
          <cell r="C29" t="str">
            <v>S02BLOC004</v>
          </cell>
          <cell r="D29" t="str">
            <v>ศิลาเหลี่ยม 10*10 ส้ม</v>
          </cell>
          <cell r="E29">
            <v>22.4</v>
          </cell>
          <cell r="F29">
            <v>22.4</v>
          </cell>
        </row>
        <row r="30">
          <cell r="C30" t="str">
            <v>S02BLOC008</v>
          </cell>
          <cell r="D30" t="str">
            <v>ศิลาเหลี่ยม 30*30 เทา</v>
          </cell>
          <cell r="E30">
            <v>18</v>
          </cell>
          <cell r="F30">
            <v>22</v>
          </cell>
        </row>
        <row r="31">
          <cell r="C31" t="str">
            <v>S02BLOC018</v>
          </cell>
          <cell r="D31" t="str">
            <v>Q.CON BLOCK ขนาด 0.20*0.60 ม.หนา 7.5 ซม.</v>
          </cell>
          <cell r="E31">
            <v>20.67</v>
          </cell>
          <cell r="F31">
            <v>19.8</v>
          </cell>
        </row>
        <row r="32">
          <cell r="C32" t="str">
            <v>S02BLOC019</v>
          </cell>
          <cell r="D32" t="str">
            <v>ศิลาเหลี่ยม 10*20 แดง</v>
          </cell>
          <cell r="E32">
            <v>4.5</v>
          </cell>
          <cell r="F32">
            <v>4.5</v>
          </cell>
        </row>
        <row r="33">
          <cell r="C33" t="str">
            <v>S02BLOC050</v>
          </cell>
          <cell r="D33" t="str">
            <v>อิฐมอญ</v>
          </cell>
          <cell r="E33">
            <v>0.95</v>
          </cell>
          <cell r="F33">
            <v>0.95</v>
          </cell>
        </row>
        <row r="34">
          <cell r="C34" t="str">
            <v>S02BLOC071</v>
          </cell>
          <cell r="D34" t="str">
            <v>CON Block ขนาด 0.19x0.39 m. หนา 7 cm.</v>
          </cell>
          <cell r="E34">
            <v>5.5</v>
          </cell>
          <cell r="F34">
            <v>3.95</v>
          </cell>
        </row>
        <row r="35">
          <cell r="C35" t="str">
            <v>S02BLOC072</v>
          </cell>
          <cell r="D35" t="str">
            <v>CON Block ขนาด 0.19 x 0.39 m. 6 cm(ขาม้านั่ง)</v>
          </cell>
          <cell r="E35">
            <v>5.5</v>
          </cell>
          <cell r="F35">
            <v>5.45</v>
          </cell>
        </row>
        <row r="36">
          <cell r="C36" t="str">
            <v>S02BLOC085</v>
          </cell>
          <cell r="D36" t="str">
            <v>ศิลาเหลี่ยม 20*20 แดง</v>
          </cell>
          <cell r="E36">
            <v>11.5</v>
          </cell>
          <cell r="F36">
            <v>11.5</v>
          </cell>
        </row>
        <row r="37">
          <cell r="C37" t="str">
            <v>S02BLOC086</v>
          </cell>
          <cell r="D37" t="str">
            <v>ศิลาเหลี่ยม 20*20 เทา</v>
          </cell>
          <cell r="E37">
            <v>10</v>
          </cell>
          <cell r="F37">
            <v>10</v>
          </cell>
        </row>
        <row r="38">
          <cell r="C38" t="str">
            <v>S02CURB008</v>
          </cell>
          <cell r="D38" t="str">
            <v>บล็อกปูพื้น CPAC หน้าธรรมชาติสีเหลือง ขนาด 0.3x0.3x0.03 m.</v>
          </cell>
          <cell r="E38">
            <v>25</v>
          </cell>
          <cell r="F38">
            <v>25</v>
          </cell>
        </row>
        <row r="39">
          <cell r="C39" t="str">
            <v>S02CURB009</v>
          </cell>
          <cell r="D39" t="str">
            <v>บล็อกปูพื้น CPAC หน้าธรรมชาติสีเหลือง ขนาด 0.4x0.4x0.03 m.</v>
          </cell>
          <cell r="E39">
            <v>47</v>
          </cell>
          <cell r="F39">
            <v>47</v>
          </cell>
        </row>
        <row r="40">
          <cell r="C40" t="str">
            <v>S02CURB010</v>
          </cell>
          <cell r="D40" t="str">
            <v>บล็อกปูพื้น CPAC หน้าธรรมชาติสีขาวนวล ขนาด 0.4x0.4x0.03 m.</v>
          </cell>
          <cell r="E40">
            <v>47</v>
          </cell>
          <cell r="F40">
            <v>47</v>
          </cell>
        </row>
        <row r="41">
          <cell r="C41" t="str">
            <v>S02CURB011</v>
          </cell>
          <cell r="D41" t="str">
            <v>แผ่นหินทรายสีเหลือง ขนาด 0.30x0.30 หนา 5 ซม.</v>
          </cell>
          <cell r="E41">
            <v>35</v>
          </cell>
          <cell r="F41">
            <v>40</v>
          </cell>
        </row>
        <row r="42">
          <cell r="C42" t="str">
            <v>S02CURB012</v>
          </cell>
          <cell r="D42" t="str">
            <v>แผ่นหินทรายสีแดงขนาด 0.30x0.30 m..หนา 5 cm.</v>
          </cell>
          <cell r="E42">
            <v>35</v>
          </cell>
          <cell r="F42">
            <v>35</v>
          </cell>
        </row>
        <row r="43">
          <cell r="C43" t="str">
            <v>S02CURB013</v>
          </cell>
          <cell r="D43" t="str">
            <v>แผ่นหินทรายสีเหลืองขนาด 0.30x0.60 m..หนา 5 cm.</v>
          </cell>
          <cell r="E43">
            <v>70</v>
          </cell>
          <cell r="F43">
            <v>90</v>
          </cell>
        </row>
        <row r="44">
          <cell r="C44" t="str">
            <v>S02CURB014</v>
          </cell>
          <cell r="D44" t="str">
            <v>แผ่นหินทรายสีเหลืองขนาด 0.40x0.80 m..หนา 5 cm.</v>
          </cell>
          <cell r="E44">
            <v>140</v>
          </cell>
          <cell r="F44">
            <v>160</v>
          </cell>
        </row>
        <row r="45">
          <cell r="C45" t="str">
            <v>S02CURB016</v>
          </cell>
          <cell r="D45" t="str">
            <v>แผ่น CPACขนาด 40x40 cm..ลายหมากรุกสีน้ำตาล</v>
          </cell>
          <cell r="E45">
            <v>44</v>
          </cell>
          <cell r="F45">
            <v>44</v>
          </cell>
        </row>
        <row r="46">
          <cell r="C46" t="str">
            <v>S03ASCP004</v>
          </cell>
          <cell r="D46" t="str">
            <v>ท่อซีเมนต์ใยหิน 8" ยาว 3 ม.</v>
          </cell>
          <cell r="E46">
            <v>135</v>
          </cell>
          <cell r="F46">
            <v>180</v>
          </cell>
        </row>
        <row r="47">
          <cell r="C47" t="str">
            <v>S03CPIL</v>
          </cell>
          <cell r="D47" t="str">
            <v>เสาเข็ม I 0.18*0.18*7.5 m. รวมค่าตอก</v>
          </cell>
          <cell r="E47">
            <v>0</v>
          </cell>
          <cell r="F47">
            <v>0</v>
          </cell>
        </row>
        <row r="48">
          <cell r="C48" t="str">
            <v>S03CPIL</v>
          </cell>
          <cell r="D48" t="str">
            <v>เสาเข็ม I 0.26*0.26*16 m. รวมค่าตอก</v>
          </cell>
          <cell r="E48">
            <v>0</v>
          </cell>
          <cell r="F48">
            <v>0</v>
          </cell>
        </row>
        <row r="49">
          <cell r="C49" t="str">
            <v>S03CPIL001</v>
          </cell>
          <cell r="D49" t="str">
            <v>เสาเข็ม I 0.18*0.18*15 m. รวมค่าตอก</v>
          </cell>
          <cell r="E49">
            <v>1920</v>
          </cell>
          <cell r="F49">
            <v>1800</v>
          </cell>
        </row>
        <row r="50">
          <cell r="C50" t="str">
            <v>S03CPIL002</v>
          </cell>
          <cell r="D50" t="str">
            <v>เสาเข็ม คสล. รูปหกเหลี่ยมกลวง 0.15 * 3.00 ม.</v>
          </cell>
          <cell r="E50">
            <v>140</v>
          </cell>
          <cell r="F50">
            <v>144</v>
          </cell>
        </row>
        <row r="51">
          <cell r="C51" t="str">
            <v>S03CPIL003</v>
          </cell>
          <cell r="D51" t="str">
            <v>เสาเข็มคสล.รูปหกเหลี่ยมกลวง0.15*4.00 ม.</v>
          </cell>
          <cell r="E51">
            <v>188</v>
          </cell>
          <cell r="F51">
            <v>200</v>
          </cell>
        </row>
        <row r="52">
          <cell r="C52" t="str">
            <v>S03CPIL004</v>
          </cell>
          <cell r="D52" t="str">
            <v>เสาเข็มคสล.รูปหกเหลี่ยมกลวง0.15*6.00 ม.</v>
          </cell>
          <cell r="E52">
            <v>290</v>
          </cell>
          <cell r="F52">
            <v>240</v>
          </cell>
        </row>
        <row r="53">
          <cell r="C53" t="str">
            <v>S03CPIL008</v>
          </cell>
          <cell r="D53" t="str">
            <v>เสาเข็มตัวบ้าน I 0.18X 0.18 ยาว 16 เมตร</v>
          </cell>
          <cell r="E53">
            <v>2200</v>
          </cell>
          <cell r="F53">
            <v>1670</v>
          </cell>
        </row>
        <row r="54">
          <cell r="C54" t="str">
            <v>S03CPIL009</v>
          </cell>
          <cell r="D54" t="str">
            <v>เสาเข็ม I 0.18*0.18*8 m. รวมค่าตอก</v>
          </cell>
          <cell r="E54">
            <v>869</v>
          </cell>
          <cell r="F54">
            <v>980</v>
          </cell>
        </row>
        <row r="55">
          <cell r="C55" t="str">
            <v>S03CPIL010</v>
          </cell>
          <cell r="D55" t="str">
            <v>เสาเข็ม I 0.22*0.22*16 m. รวมค่าตอก</v>
          </cell>
          <cell r="E55">
            <v>2600</v>
          </cell>
          <cell r="F55">
            <v>2480</v>
          </cell>
        </row>
        <row r="56">
          <cell r="C56" t="str">
            <v>S03CPIL011</v>
          </cell>
          <cell r="D56" t="str">
            <v>เสาเข็ม I 0.18*0.18*6 m. รวมค่าตอก</v>
          </cell>
          <cell r="E56">
            <v>0</v>
          </cell>
          <cell r="F56">
            <v>600</v>
          </cell>
        </row>
        <row r="57">
          <cell r="C57" t="str">
            <v>S03CPLA003</v>
          </cell>
          <cell r="D57" t="str">
            <v xml:space="preserve">แผ่นพื้นสำเร็จรูปขนาด 0.35 x 2.60 x 0.05 </v>
          </cell>
          <cell r="E57">
            <v>150.80000000000001</v>
          </cell>
          <cell r="F57">
            <v>165.23</v>
          </cell>
        </row>
        <row r="58">
          <cell r="C58" t="str">
            <v>S03CPLA005</v>
          </cell>
          <cell r="D58" t="str">
            <v xml:space="preserve">แผ่นพื้นสำเร็จรูปขนาด 0.35 x 4.10 x 0.05 </v>
          </cell>
          <cell r="E58">
            <v>237.79999999999998</v>
          </cell>
          <cell r="F58">
            <v>287</v>
          </cell>
        </row>
        <row r="59">
          <cell r="C59" t="str">
            <v>S03CPLA007</v>
          </cell>
          <cell r="D59" t="str">
            <v>แผ่นพื้นสำเร็จรูปขนาด 0.35 x 2.75 x 0.05</v>
          </cell>
          <cell r="E59">
            <v>159.5</v>
          </cell>
          <cell r="F59">
            <v>173.25</v>
          </cell>
        </row>
        <row r="60">
          <cell r="C60" t="str">
            <v>S03CPLA009</v>
          </cell>
          <cell r="D60" t="str">
            <v xml:space="preserve">แผ่นพื้นสำเร็จรูปขนาด 0.35 x 3.00 x 0.05 </v>
          </cell>
          <cell r="E60">
            <v>174</v>
          </cell>
          <cell r="F60">
            <v>189</v>
          </cell>
        </row>
        <row r="61">
          <cell r="C61" t="str">
            <v>S03CPLA011</v>
          </cell>
          <cell r="D61" t="str">
            <v>แผ่นพื้นสำเร็จรูปขนาด 0.35 x 2.80x 0.05</v>
          </cell>
          <cell r="E61">
            <v>162.39999999999998</v>
          </cell>
          <cell r="F61">
            <v>176.4</v>
          </cell>
        </row>
        <row r="62">
          <cell r="C62" t="str">
            <v>S03CPLA013</v>
          </cell>
          <cell r="D62" t="str">
            <v xml:space="preserve">แผ่นพื้นสำเร็จรูปขนาด 0.35 x 1.65 x 0.05 </v>
          </cell>
          <cell r="E62">
            <v>95.699999999999989</v>
          </cell>
          <cell r="F62">
            <v>103.95</v>
          </cell>
        </row>
        <row r="63">
          <cell r="C63" t="str">
            <v>S03CPLA014</v>
          </cell>
          <cell r="D63" t="str">
            <v xml:space="preserve">แผ่นพื้นสำเร็จรูปขนาด 0.35 x 2.90 x 0.05 </v>
          </cell>
          <cell r="E63">
            <v>168.2</v>
          </cell>
          <cell r="F63">
            <v>178.73</v>
          </cell>
        </row>
        <row r="64">
          <cell r="C64" t="str">
            <v>S03CPLA015</v>
          </cell>
          <cell r="D64" t="str">
            <v>แผ่นพื้นสำเร็จรูปขนาด 0.35 x 1.20 x 0.05</v>
          </cell>
          <cell r="E64">
            <v>69.599999999999994</v>
          </cell>
          <cell r="F64">
            <v>73.44</v>
          </cell>
        </row>
        <row r="65">
          <cell r="C65" t="str">
            <v>S03CPLA016</v>
          </cell>
          <cell r="D65" t="str">
            <v xml:space="preserve">แผ่นพื้นสำเร็จรูปขนาด 0.35 x 3.10 x 0.05 </v>
          </cell>
          <cell r="E65">
            <v>179.8</v>
          </cell>
          <cell r="F65">
            <v>220.58</v>
          </cell>
        </row>
        <row r="66">
          <cell r="C66" t="str">
            <v>S03CPLA018</v>
          </cell>
          <cell r="D66" t="str">
            <v xml:space="preserve">แผ่นพื้นสำเร็จรูปขนาด 0.35 x 2.65 x 0.05 </v>
          </cell>
          <cell r="E66">
            <v>153.69999999999999</v>
          </cell>
          <cell r="F66">
            <v>178.63</v>
          </cell>
        </row>
        <row r="67">
          <cell r="C67" t="str">
            <v>S03CPLA019</v>
          </cell>
          <cell r="D67" t="str">
            <v xml:space="preserve">แผ่นพื้นสำเร็จรูปขนาด 0.35 x 4.20 x 0.05 </v>
          </cell>
          <cell r="E67">
            <v>243.60000000000002</v>
          </cell>
          <cell r="F67">
            <v>294</v>
          </cell>
        </row>
        <row r="68">
          <cell r="C68" t="str">
            <v>S03CPLA043</v>
          </cell>
          <cell r="D68" t="str">
            <v>แผ่นพื้นสำเร็จรูปขนาด 0.35 x 3.95 x 0.05</v>
          </cell>
          <cell r="E68">
            <v>229.10000000000002</v>
          </cell>
          <cell r="F68">
            <v>278.93</v>
          </cell>
        </row>
        <row r="69">
          <cell r="C69" t="str">
            <v>S03CPLA050</v>
          </cell>
          <cell r="D69" t="str">
            <v>แผ่นพื้นสำเร็จรูป 0.35 x 0.05 x 1.10 m.</v>
          </cell>
          <cell r="E69">
            <v>63.800000000000004</v>
          </cell>
          <cell r="F69">
            <v>65.45</v>
          </cell>
        </row>
        <row r="70">
          <cell r="C70" t="str">
            <v>S03CPLA053</v>
          </cell>
          <cell r="D70" t="str">
            <v xml:space="preserve">แผ่นพื้นสำเร็จรูปขนาด 0.35 x 1.85 x 0.05 </v>
          </cell>
          <cell r="E70">
            <v>107.30000000000001</v>
          </cell>
          <cell r="F70">
            <v>116.55</v>
          </cell>
        </row>
        <row r="71">
          <cell r="C71" t="str">
            <v>S03CPLA054</v>
          </cell>
          <cell r="D71" t="str">
            <v xml:space="preserve">แผ่นพื้นสำเร็จรูปขนาด 0.35 x 2.40 x 0.05 </v>
          </cell>
          <cell r="E71">
            <v>139.19999999999999</v>
          </cell>
          <cell r="F71">
            <v>161.79</v>
          </cell>
        </row>
        <row r="72">
          <cell r="C72" t="str">
            <v>S03CPLA055</v>
          </cell>
          <cell r="D72" t="str">
            <v xml:space="preserve">แผ่นพื้นสำเร็จรูปขนาด 0.35 x 3.35 x 0.05 </v>
          </cell>
          <cell r="E72">
            <v>194.3</v>
          </cell>
          <cell r="F72">
            <v>222.78</v>
          </cell>
        </row>
        <row r="73">
          <cell r="C73" t="str">
            <v>S03CPLA101</v>
          </cell>
          <cell r="D73" t="str">
            <v>แผ่นพื้นสำเร็จรูป 0.35 x 0.05 x 0.9 m.</v>
          </cell>
          <cell r="E73">
            <v>52.2</v>
          </cell>
          <cell r="F73">
            <v>55.92</v>
          </cell>
        </row>
        <row r="74">
          <cell r="C74" t="str">
            <v>S03CPLA140</v>
          </cell>
          <cell r="D74" t="str">
            <v>แผ่นพื้นสำเร็จรูป 0.35 x 0.05 x 0.85 m.</v>
          </cell>
          <cell r="E74">
            <v>49.3</v>
          </cell>
          <cell r="F74">
            <v>50.58</v>
          </cell>
        </row>
        <row r="75">
          <cell r="C75" t="str">
            <v>S03CPLA143</v>
          </cell>
          <cell r="D75" t="str">
            <v>แผ่นพื้นสำเร็จรูป 0.35 x 0.05 x 1.5 m.</v>
          </cell>
          <cell r="E75">
            <v>87</v>
          </cell>
          <cell r="F75">
            <v>84</v>
          </cell>
        </row>
        <row r="76">
          <cell r="C76" t="str">
            <v>S03CPLA144</v>
          </cell>
          <cell r="D76" t="str">
            <v xml:space="preserve">แผ่นพื้นสำเร็จรูปขนาด 0.35 x 2.00 x 0.05 </v>
          </cell>
          <cell r="E76">
            <v>116</v>
          </cell>
          <cell r="F76">
            <v>126</v>
          </cell>
        </row>
        <row r="77">
          <cell r="C77" t="str">
            <v>S03CPLA146</v>
          </cell>
          <cell r="D77" t="str">
            <v>แผ่นพื้นสำเร็จรูปขนาด 0.35 x 1.07 x 0.05 ม.</v>
          </cell>
          <cell r="E77">
            <v>62.06</v>
          </cell>
          <cell r="F77">
            <v>63.67</v>
          </cell>
        </row>
        <row r="78">
          <cell r="C78" t="str">
            <v>S03CPLA198</v>
          </cell>
          <cell r="D78" t="str">
            <v>แผ่นพื้นสำเร็จรูปขนาด 0.35*1.00*0.05 m</v>
          </cell>
          <cell r="E78">
            <v>58</v>
          </cell>
          <cell r="F78">
            <v>52.5</v>
          </cell>
        </row>
        <row r="79">
          <cell r="C79" t="str">
            <v>S03CPLA228</v>
          </cell>
          <cell r="D79" t="str">
            <v>แผ่นพื้นสำเร็จรูปขนาด0.35 x 2.0 x 0.05ม.</v>
          </cell>
          <cell r="E79">
            <v>116</v>
          </cell>
          <cell r="F79">
            <v>112</v>
          </cell>
        </row>
        <row r="80">
          <cell r="C80" t="str">
            <v>S03CPLA229</v>
          </cell>
          <cell r="D80" t="str">
            <v>แผ่นพื้นสำเร็จรูปขนาด0.35 x 2.2 x 0.05ม.</v>
          </cell>
          <cell r="E80">
            <v>127.60000000000001</v>
          </cell>
          <cell r="F80">
            <v>123.2</v>
          </cell>
        </row>
        <row r="81">
          <cell r="C81" t="str">
            <v>S03CPLA230</v>
          </cell>
          <cell r="D81" t="str">
            <v>แผ่นพื้นสำเร็จรูปขนาด0.35 x 2.5 x 0.05ม.</v>
          </cell>
          <cell r="E81">
            <v>145</v>
          </cell>
          <cell r="F81">
            <v>140</v>
          </cell>
        </row>
        <row r="82">
          <cell r="C82" t="str">
            <v>S03CPLA234</v>
          </cell>
          <cell r="D82" t="str">
            <v>แผ่นพื้นสำเร็จรูปขนาด0.35x 1.10 x 0.05ม.</v>
          </cell>
          <cell r="E82">
            <v>63.800000000000004</v>
          </cell>
          <cell r="F82">
            <v>61.6</v>
          </cell>
        </row>
        <row r="83">
          <cell r="C83" t="str">
            <v>S03CPLA235</v>
          </cell>
          <cell r="D83" t="str">
            <v>แผ่นพื้นสำเร็จรูปขนาด0.35x 1.15 x 0.05ม.</v>
          </cell>
          <cell r="E83">
            <v>66.699999999999989</v>
          </cell>
          <cell r="F83">
            <v>64.400000000000006</v>
          </cell>
        </row>
        <row r="84">
          <cell r="C84" t="str">
            <v>S03CPLA236</v>
          </cell>
          <cell r="D84" t="str">
            <v>แผ่นพื้นสำเร็จรูปขนาด0.35x 1.35 x 0.05ม.</v>
          </cell>
          <cell r="E84">
            <v>78.300000000000011</v>
          </cell>
          <cell r="F84">
            <v>75.599999999999994</v>
          </cell>
        </row>
        <row r="85">
          <cell r="C85" t="str">
            <v>S03CPLA237</v>
          </cell>
          <cell r="D85" t="str">
            <v>แผ่นพื้นสำเร็จรูปขนาด0.35x 1.45 x 0.05ม.</v>
          </cell>
          <cell r="E85">
            <v>84.1</v>
          </cell>
          <cell r="F85">
            <v>81.2</v>
          </cell>
        </row>
        <row r="86">
          <cell r="C86" t="str">
            <v>S03CPLA238</v>
          </cell>
          <cell r="D86" t="str">
            <v>แผ่นพื้นสำเร็จรูปขนาด0.35x 1.65 x 0.05ม.</v>
          </cell>
          <cell r="E86">
            <v>95.699999999999989</v>
          </cell>
          <cell r="F86">
            <v>92.4</v>
          </cell>
        </row>
        <row r="87">
          <cell r="C87" t="str">
            <v>S03CPLA239</v>
          </cell>
          <cell r="D87" t="str">
            <v>แผ่นพื้นสำเร็จรูปขนาด0.35x 1.90x 0.05ม.</v>
          </cell>
          <cell r="E87">
            <v>110.19999999999999</v>
          </cell>
          <cell r="F87">
            <v>106.4</v>
          </cell>
        </row>
        <row r="88">
          <cell r="C88" t="str">
            <v>S03CPLA714</v>
          </cell>
          <cell r="D88" t="str">
            <v>แผ่นพื้นสำเร็จรูปขนาด 0.35 x 1.20 x 0.05 (คานรั้ว)</v>
          </cell>
          <cell r="E88">
            <v>69.599999999999994</v>
          </cell>
          <cell r="F88">
            <v>73.44</v>
          </cell>
        </row>
        <row r="89">
          <cell r="C89" t="str">
            <v>S03WPIL006</v>
          </cell>
          <cell r="D89" t="str">
            <v>เสาเข็มไม้สน 4'' x 3.00 ม.</v>
          </cell>
          <cell r="E89">
            <v>55</v>
          </cell>
          <cell r="F89">
            <v>50</v>
          </cell>
        </row>
        <row r="90">
          <cell r="C90" t="str">
            <v>S04RFDB</v>
          </cell>
          <cell r="D90" t="str">
            <v>เหล็กข้ออ้อยSD-30 ขนาด 28 มม.*10ม.</v>
          </cell>
          <cell r="E90">
            <v>1062.5999999999999</v>
          </cell>
          <cell r="F90">
            <v>1136.982</v>
          </cell>
        </row>
        <row r="91">
          <cell r="C91" t="str">
            <v>S04RFDB</v>
          </cell>
          <cell r="D91" t="str">
            <v>เหล็กข้ออ้อยSD-40 ขนาด 10 มม.*10ม.</v>
          </cell>
          <cell r="E91">
            <v>135.74</v>
          </cell>
          <cell r="F91">
            <v>145.24180000000001</v>
          </cell>
        </row>
        <row r="92">
          <cell r="C92" t="str">
            <v>S04RFDB</v>
          </cell>
          <cell r="D92" t="str">
            <v>เหล็กข้ออ้อยSD-40 ขนาด 16 มม.*10ม.</v>
          </cell>
          <cell r="E92">
            <v>347.6</v>
          </cell>
          <cell r="F92">
            <v>371.93200000000007</v>
          </cell>
        </row>
        <row r="93">
          <cell r="C93" t="str">
            <v>S04RFDB</v>
          </cell>
          <cell r="D93" t="str">
            <v>เหล็กข้ออ้อยSD-30 ขนาด 25 มม.*10ม.</v>
          </cell>
          <cell r="E93">
            <v>847</v>
          </cell>
          <cell r="F93">
            <v>906.29000000000008</v>
          </cell>
        </row>
        <row r="94">
          <cell r="C94" t="str">
            <v>S04RFDB001</v>
          </cell>
          <cell r="D94" t="str">
            <v>เหล็กข้ออ้อยSD-30 ขนาด 12 มม.*10ม.</v>
          </cell>
          <cell r="E94">
            <v>197.56</v>
          </cell>
          <cell r="F94">
            <v>177</v>
          </cell>
        </row>
        <row r="95">
          <cell r="C95" t="str">
            <v>S04RFDB002</v>
          </cell>
          <cell r="D95" t="str">
            <v>เหล็กข้ออ้อยSD-30 ขนาด 20 มม.*10ม.</v>
          </cell>
          <cell r="E95">
            <v>543.4</v>
          </cell>
          <cell r="F95">
            <v>513</v>
          </cell>
        </row>
        <row r="96">
          <cell r="C96" t="str">
            <v>S04RFDB003</v>
          </cell>
          <cell r="D96" t="str">
            <v>เหล็กข้ออ้อยSD-30 ขนาด 16 มม.*10ม.</v>
          </cell>
          <cell r="E96">
            <v>347.6</v>
          </cell>
          <cell r="F96">
            <v>312</v>
          </cell>
        </row>
        <row r="97">
          <cell r="C97" t="str">
            <v>S04RFDB005</v>
          </cell>
          <cell r="D97" t="str">
            <v>เหล็กข้ออ้อยSD-30 ขนาด 32 มม.*10ม.</v>
          </cell>
          <cell r="E97">
            <v>1388.2</v>
          </cell>
          <cell r="F97">
            <v>1350</v>
          </cell>
        </row>
        <row r="98">
          <cell r="C98" t="str">
            <v>S04RFDB006</v>
          </cell>
          <cell r="D98" t="str">
            <v>เหล็กข้ออ้อยSD-40 ขนาด 25 มม.*10ม.</v>
          </cell>
          <cell r="E98">
            <v>847</v>
          </cell>
          <cell r="F98">
            <v>794</v>
          </cell>
        </row>
        <row r="99">
          <cell r="C99" t="str">
            <v>S04RFDB007</v>
          </cell>
          <cell r="D99" t="str">
            <v>เหล็กข้ออ้อยSD-40 ขนาด 12 มม.*10ม.</v>
          </cell>
          <cell r="E99">
            <v>197.56</v>
          </cell>
          <cell r="F99">
            <v>187</v>
          </cell>
        </row>
        <row r="100">
          <cell r="C100" t="str">
            <v>S04RFDB008</v>
          </cell>
          <cell r="D100" t="str">
            <v>เหล็กข้ออ้อยSD-40 ขนาด 20 มม.*10ม.</v>
          </cell>
          <cell r="E100">
            <v>543.4</v>
          </cell>
          <cell r="F100">
            <v>581.43799999999999</v>
          </cell>
        </row>
        <row r="101">
          <cell r="C101" t="str">
            <v>S04RFDB009</v>
          </cell>
          <cell r="D101" t="str">
            <v>เหล็กข้ออ้อยSD-30 ขนาด 12 มม.*0.5ม.</v>
          </cell>
          <cell r="E101">
            <v>9.8780000000000001</v>
          </cell>
          <cell r="F101">
            <v>8.1999999999999993</v>
          </cell>
        </row>
        <row r="102">
          <cell r="C102" t="str">
            <v>S04RFRB</v>
          </cell>
          <cell r="D102" t="str">
            <v>เหล็กข้ออ้อยSD-30 ขนาด 10 มม.*10ม.</v>
          </cell>
          <cell r="E102">
            <v>135.74</v>
          </cell>
          <cell r="F102">
            <v>145.24180000000001</v>
          </cell>
        </row>
        <row r="103">
          <cell r="C103" t="str">
            <v>S04RFRB001</v>
          </cell>
          <cell r="D103" t="str">
            <v>เหล็กเส้นกลมSR-24 ขนาด 6 มม.*10ม.</v>
          </cell>
          <cell r="E103">
            <v>48.84</v>
          </cell>
          <cell r="F103">
            <v>47</v>
          </cell>
        </row>
        <row r="104">
          <cell r="C104" t="str">
            <v>S04RFRB002</v>
          </cell>
          <cell r="D104" t="str">
            <v>เหล็กเส้นกลมSR-24 ขนาด 9มม.*10 ม.</v>
          </cell>
          <cell r="E104">
            <v>109.78</v>
          </cell>
          <cell r="F104">
            <v>104</v>
          </cell>
        </row>
        <row r="105">
          <cell r="C105" t="str">
            <v>S04RFRB003</v>
          </cell>
          <cell r="D105" t="str">
            <v>เหล็กเส้นกลมSR-24 ขนาด 15มม.*10 ม.</v>
          </cell>
          <cell r="E105">
            <v>305.8</v>
          </cell>
          <cell r="F105">
            <v>327.20600000000002</v>
          </cell>
        </row>
        <row r="106">
          <cell r="C106" t="str">
            <v>S04RFRB004</v>
          </cell>
          <cell r="D106" t="str">
            <v>เหล็กเส้นกลมSR-24 ขนาด 19มม.*10 ม.</v>
          </cell>
          <cell r="E106">
            <v>490.6</v>
          </cell>
          <cell r="F106">
            <v>467</v>
          </cell>
        </row>
        <row r="107">
          <cell r="C107" t="str">
            <v>S04RFRB005</v>
          </cell>
          <cell r="D107" t="str">
            <v>เหล็กเส้นกลมSR-24 ขนาด 19มม.*0.5 ม.</v>
          </cell>
          <cell r="E107">
            <v>2.23</v>
          </cell>
          <cell r="F107">
            <v>21</v>
          </cell>
        </row>
        <row r="108">
          <cell r="C108" t="str">
            <v>S04RFRB007</v>
          </cell>
          <cell r="D108" t="str">
            <v>เหล็กเส้นกลมSR-24 ขนาด 12มม.*10 ม.</v>
          </cell>
          <cell r="E108">
            <v>197.56</v>
          </cell>
          <cell r="F108">
            <v>165</v>
          </cell>
        </row>
        <row r="109">
          <cell r="C109" t="str">
            <v>S04SSTL</v>
          </cell>
          <cell r="D109" t="str">
            <v>[] 4/8" ตัน ยาว 6 m. (1.266 kg/m)</v>
          </cell>
          <cell r="E109">
            <v>190</v>
          </cell>
          <cell r="F109">
            <v>203.3</v>
          </cell>
        </row>
        <row r="110">
          <cell r="C110" t="str">
            <v>S04SSTL</v>
          </cell>
          <cell r="D110" t="str">
            <v>[] 50x50x3.2 mm. ยาว 6 m. (4.47 kg/m)</v>
          </cell>
          <cell r="E110">
            <v>155</v>
          </cell>
          <cell r="F110">
            <v>165.85000000000002</v>
          </cell>
        </row>
        <row r="111">
          <cell r="C111" t="str">
            <v>S04SSTL</v>
          </cell>
          <cell r="D111" t="str">
            <v>เหล็กพืช DIA 1" x 2 mm. x 6 mm.</v>
          </cell>
          <cell r="F111">
            <v>0</v>
          </cell>
        </row>
        <row r="112">
          <cell r="C112" t="str">
            <v>S04SSTL</v>
          </cell>
          <cell r="D112" t="str">
            <v>เหล็กสี่เหลี่ยมตัน 12 มม.</v>
          </cell>
          <cell r="F112">
            <v>0</v>
          </cell>
        </row>
        <row r="113">
          <cell r="C113" t="str">
            <v>S04SSTL</v>
          </cell>
          <cell r="D113" t="str">
            <v>[] 4/8" ตัน ยาว 6 m. (1.266 kg/m)</v>
          </cell>
          <cell r="F113">
            <v>0</v>
          </cell>
        </row>
        <row r="114">
          <cell r="C114" t="str">
            <v>S04SSTL003</v>
          </cell>
          <cell r="D114" t="str">
            <v>เหล็กแบน 100 x 6mm. X 6 m.</v>
          </cell>
          <cell r="E114">
            <v>678.24</v>
          </cell>
          <cell r="F114">
            <v>820</v>
          </cell>
        </row>
        <row r="115">
          <cell r="C115" t="str">
            <v>S04SSTL008</v>
          </cell>
          <cell r="D115" t="str">
            <v>เหล็กฉาก L 75 x 75 x 6 mm x 6 m</v>
          </cell>
          <cell r="E115">
            <v>986.4</v>
          </cell>
          <cell r="F115">
            <v>890</v>
          </cell>
        </row>
        <row r="116">
          <cell r="C116" t="str">
            <v>S04SSTL009</v>
          </cell>
          <cell r="D116" t="str">
            <v>เหล็กฉาก 100 x 100 x 7 mm. X 6.00 m.</v>
          </cell>
          <cell r="E116">
            <v>1540.8</v>
          </cell>
          <cell r="F116">
            <v>1455</v>
          </cell>
        </row>
        <row r="117">
          <cell r="C117" t="str">
            <v>S04SSTL012</v>
          </cell>
          <cell r="D117" t="str">
            <v>เหล็กฉาก 75 x 75 x 8 mm. X 6.00 m.</v>
          </cell>
          <cell r="E117">
            <v>1248</v>
          </cell>
          <cell r="F117">
            <v>1382</v>
          </cell>
        </row>
        <row r="118">
          <cell r="C118" t="str">
            <v>S04SSTL029</v>
          </cell>
          <cell r="D118" t="str">
            <v>เหล็กฉาก 65*65*6 มม. *6.0ม.</v>
          </cell>
          <cell r="E118">
            <v>851.04</v>
          </cell>
          <cell r="F118">
            <v>685</v>
          </cell>
        </row>
        <row r="119">
          <cell r="C119" t="str">
            <v>S04SSTL030</v>
          </cell>
          <cell r="D119" t="str">
            <v>เหล็กฉาก 90*90*6 มม. *6.0ม.</v>
          </cell>
          <cell r="E119">
            <v>1192.32</v>
          </cell>
          <cell r="F119">
            <v>1230</v>
          </cell>
        </row>
        <row r="120">
          <cell r="C120" t="str">
            <v>S04SSTL035</v>
          </cell>
          <cell r="D120" t="str">
            <v>เหล็กฉาก 60*60*6 มม. *6.0ม.</v>
          </cell>
          <cell r="E120">
            <v>785.58</v>
          </cell>
          <cell r="F120">
            <v>840.57060000000013</v>
          </cell>
        </row>
        <row r="121">
          <cell r="C121" t="str">
            <v>S04SSTL039</v>
          </cell>
          <cell r="D121" t="str">
            <v>เหล็กกล่อง 25* 25 * 2.3 mm. * 6 m.</v>
          </cell>
          <cell r="E121">
            <v>259.99200000000002</v>
          </cell>
          <cell r="F121">
            <v>205</v>
          </cell>
        </row>
        <row r="122">
          <cell r="C122" t="str">
            <v>S04SSTL043</v>
          </cell>
          <cell r="D122" t="str">
            <v>เหล็ก [ 100x50x2.3 mm x6 m</v>
          </cell>
          <cell r="E122">
            <v>584.64</v>
          </cell>
          <cell r="F122">
            <v>460</v>
          </cell>
        </row>
        <row r="123">
          <cell r="C123" t="str">
            <v>S04SSTL055</v>
          </cell>
          <cell r="D123" t="str">
            <v>[] 2"x2"x2.3 mm. x 6 m.</v>
          </cell>
          <cell r="E123">
            <v>528.29999999999995</v>
          </cell>
          <cell r="F123">
            <v>360</v>
          </cell>
        </row>
        <row r="124">
          <cell r="C124" t="str">
            <v>S04STPL010</v>
          </cell>
          <cell r="D124" t="str">
            <v>PL ATE No.4(ฉาก0.2+0.2m.)x0.05m.x6mm.</v>
          </cell>
          <cell r="E124">
            <v>52.5</v>
          </cell>
          <cell r="F124">
            <v>35</v>
          </cell>
        </row>
        <row r="125">
          <cell r="C125" t="str">
            <v>S04STPL014</v>
          </cell>
          <cell r="D125" t="str">
            <v>PLATE เบอร์1 (ตัวตรง 0.25+0.25 ม.) x0.05x0.06</v>
          </cell>
          <cell r="E125">
            <v>52.5</v>
          </cell>
          <cell r="F125">
            <v>56.175000000000004</v>
          </cell>
        </row>
        <row r="126">
          <cell r="C126" t="str">
            <v>S04STPL015</v>
          </cell>
          <cell r="D126" t="str">
            <v>PLATE เบอร์2 (ฉาก 0.15+0.20 ม.) x0.10x0.60</v>
          </cell>
          <cell r="E126">
            <v>63</v>
          </cell>
          <cell r="F126">
            <v>67.410000000000011</v>
          </cell>
        </row>
        <row r="127">
          <cell r="C127" t="str">
            <v>S04STPL016</v>
          </cell>
          <cell r="D127" t="str">
            <v>PLATE เบอร์3 (ฉาก 0.20+0.20 ม.) x0.10x0.06</v>
          </cell>
          <cell r="E127">
            <v>63</v>
          </cell>
          <cell r="F127">
            <v>67.410000000000011</v>
          </cell>
        </row>
        <row r="128">
          <cell r="C128" t="str">
            <v>S04STPL017</v>
          </cell>
          <cell r="D128" t="str">
            <v>PLATE เบอร์4 (สามทาง 0.25+0.25+0.25 ม.) x0.05x0.06</v>
          </cell>
          <cell r="E128">
            <v>82</v>
          </cell>
          <cell r="F128">
            <v>87.740000000000009</v>
          </cell>
        </row>
        <row r="129">
          <cell r="C129" t="str">
            <v>S04STPL018</v>
          </cell>
          <cell r="D129" t="str">
            <v>PLATE เบอร์5 (ฉาก 0.25+0.25 ม.) x0.05x0.06</v>
          </cell>
          <cell r="E129">
            <v>60</v>
          </cell>
          <cell r="F129">
            <v>64.2</v>
          </cell>
        </row>
        <row r="130">
          <cell r="C130" t="str">
            <v>S04STPL019</v>
          </cell>
          <cell r="D130" t="str">
            <v>PLATE เบอร์6 (เฉียง 0.25+0.25 ม.)x0.05x0.06</v>
          </cell>
          <cell r="E130">
            <v>60</v>
          </cell>
          <cell r="F130">
            <v>64.2</v>
          </cell>
        </row>
        <row r="131">
          <cell r="C131" t="str">
            <v>S04STPL021</v>
          </cell>
          <cell r="D131" t="str">
            <v>PLATE เบอร์ 2 (ฉาก 0.10x0.10 m.) x0.10x0.006</v>
          </cell>
          <cell r="E131">
            <v>42</v>
          </cell>
          <cell r="F131">
            <v>39</v>
          </cell>
        </row>
        <row r="132">
          <cell r="C132" t="str">
            <v>S04STPL026</v>
          </cell>
          <cell r="D132" t="str">
            <v>PLATE  L75x75x6 mm.x 0.10 m.</v>
          </cell>
          <cell r="E132">
            <v>32.5</v>
          </cell>
          <cell r="F132">
            <v>22</v>
          </cell>
        </row>
        <row r="133">
          <cell r="C133" t="str">
            <v>S04STPL028</v>
          </cell>
          <cell r="D133" t="str">
            <v>PLATE  L100x100x6 mm.x 0.10 m.</v>
          </cell>
          <cell r="E133">
            <v>40</v>
          </cell>
          <cell r="F133">
            <v>21</v>
          </cell>
        </row>
        <row r="134">
          <cell r="C134" t="str">
            <v>S04STPL029</v>
          </cell>
          <cell r="D134" t="str">
            <v>CP1 L75x75 ยาว 0.09 m.</v>
          </cell>
          <cell r="E134">
            <v>33</v>
          </cell>
          <cell r="F134">
            <v>20</v>
          </cell>
        </row>
        <row r="135">
          <cell r="C135" t="str">
            <v>S04STPL030</v>
          </cell>
          <cell r="D135" t="str">
            <v>CP2 L90x90 ยาว 0.19 m.</v>
          </cell>
          <cell r="E135">
            <v>60</v>
          </cell>
          <cell r="F135">
            <v>69</v>
          </cell>
        </row>
        <row r="136">
          <cell r="C136" t="str">
            <v>S04STPL031</v>
          </cell>
          <cell r="D136" t="str">
            <v>W1 0.1*0.1 m.</v>
          </cell>
          <cell r="E136">
            <v>20</v>
          </cell>
          <cell r="F136">
            <v>19</v>
          </cell>
        </row>
        <row r="137">
          <cell r="C137" t="str">
            <v>S04STPL032</v>
          </cell>
          <cell r="D137" t="str">
            <v>CP5 PLATE 0.15x0.15 m. x 9 mm. ผนัง</v>
          </cell>
          <cell r="E137">
            <v>35</v>
          </cell>
          <cell r="F137">
            <v>41.5</v>
          </cell>
        </row>
        <row r="138">
          <cell r="C138" t="str">
            <v>S04STPL033</v>
          </cell>
          <cell r="D138" t="str">
            <v>CP4 PLATE 0.15x0.10 m. x 9 mm.</v>
          </cell>
          <cell r="E138">
            <v>23</v>
          </cell>
          <cell r="F138">
            <v>28</v>
          </cell>
        </row>
        <row r="139">
          <cell r="C139" t="str">
            <v>S04STPL034</v>
          </cell>
          <cell r="D139" t="str">
            <v>CP7 PLATE 0.15x0.15 m. x 9 mm. พื้น</v>
          </cell>
          <cell r="E139">
            <v>41.5</v>
          </cell>
          <cell r="F139">
            <v>41.5</v>
          </cell>
        </row>
        <row r="140">
          <cell r="C140" t="str">
            <v>S04STPL041</v>
          </cell>
          <cell r="D140" t="str">
            <v>PLATE เบอร์1 (ฉาก 0.10x0.10x0.006 ม.)</v>
          </cell>
          <cell r="E140">
            <v>39</v>
          </cell>
          <cell r="F140">
            <v>39</v>
          </cell>
        </row>
        <row r="141">
          <cell r="C141" t="str">
            <v>S04STPL042</v>
          </cell>
          <cell r="D141" t="str">
            <v>PLATE เบอร์2 (ฉากเอียง 135 องศา 0.10x0.10x0.006 ม.)</v>
          </cell>
          <cell r="E141">
            <v>39</v>
          </cell>
          <cell r="F141">
            <v>39</v>
          </cell>
        </row>
        <row r="142">
          <cell r="C142" t="str">
            <v>S04STPL043</v>
          </cell>
          <cell r="D142" t="str">
            <v>PLATE เบอร์3 (ฉาก 0.10x0.15x0.006 ม.)</v>
          </cell>
          <cell r="E142">
            <v>28</v>
          </cell>
          <cell r="F142">
            <v>28</v>
          </cell>
        </row>
        <row r="143">
          <cell r="C143" t="str">
            <v>S04WMSH001</v>
          </cell>
          <cell r="D143" t="str">
            <v>เหล็กตะแกรง DIA 4 mm. #0.2x0.2 - 2.80x3.00 m.</v>
          </cell>
          <cell r="E143">
            <v>218.39999999999998</v>
          </cell>
          <cell r="F143">
            <v>215.74</v>
          </cell>
        </row>
        <row r="144">
          <cell r="C144" t="str">
            <v>S04WMSH002</v>
          </cell>
          <cell r="D144" t="str">
            <v>เหล็กตะแกรง DIA 4 mm. #0.2x0.2 - 3.00x25.00 m.</v>
          </cell>
          <cell r="E144">
            <v>1950</v>
          </cell>
          <cell r="F144">
            <v>1792.5</v>
          </cell>
        </row>
        <row r="145">
          <cell r="C145" t="str">
            <v>S04WMSH003</v>
          </cell>
          <cell r="D145" t="str">
            <v>เหล็กตะแกรง DIA 4 mm. #0.2x0.2 - 3.00x10.00 m.</v>
          </cell>
          <cell r="E145">
            <v>780</v>
          </cell>
          <cell r="F145">
            <v>717</v>
          </cell>
        </row>
        <row r="146">
          <cell r="C146" t="str">
            <v>S04WMSH005</v>
          </cell>
          <cell r="D146" t="str">
            <v>เหล็กตะแกรง DIA 4 mm. #0.2x0.2 - 2.00x15.00 m.</v>
          </cell>
          <cell r="E146">
            <v>780</v>
          </cell>
          <cell r="F146">
            <v>717</v>
          </cell>
        </row>
        <row r="147">
          <cell r="C147" t="str">
            <v>S04WMSH006</v>
          </cell>
          <cell r="D147" t="str">
            <v>เหล็กตะแกรง DIA 6 mm. #0.2x0.2 - 1.55x3.00 m.</v>
          </cell>
          <cell r="E147">
            <v>279</v>
          </cell>
          <cell r="F147">
            <v>252.96</v>
          </cell>
        </row>
        <row r="148">
          <cell r="C148" t="str">
            <v>S04WMSH007</v>
          </cell>
          <cell r="D148" t="str">
            <v>เหล็กตะแกรง DIA 6 mm. #0.2x0.2 - 3.00x14.00 m.</v>
          </cell>
          <cell r="E148">
            <v>2520</v>
          </cell>
          <cell r="F148">
            <v>2436.35</v>
          </cell>
        </row>
        <row r="149">
          <cell r="C149" t="str">
            <v>S04WMSH008</v>
          </cell>
          <cell r="D149" t="str">
            <v>เหล็กตะแกรง DIA 6 mm. #0.2x0.2 - 3.10x20.00 m.</v>
          </cell>
          <cell r="E149">
            <v>3720</v>
          </cell>
          <cell r="F149">
            <v>3511.93</v>
          </cell>
        </row>
        <row r="150">
          <cell r="C150" t="str">
            <v>S04WMSH009</v>
          </cell>
          <cell r="D150" t="str">
            <v>เหล็กตะแกรง DIA 6 mm. #0.2x0.2 - 3.00x10.00 m.</v>
          </cell>
          <cell r="E150">
            <v>1800</v>
          </cell>
          <cell r="F150">
            <v>1632</v>
          </cell>
        </row>
        <row r="151">
          <cell r="C151" t="str">
            <v>S04WMSH017</v>
          </cell>
          <cell r="D151" t="str">
            <v>เหล็กตะแกรง DIA 4 mm. #0.2x0.2 - 3.00x32.00 m.</v>
          </cell>
          <cell r="E151">
            <v>2496</v>
          </cell>
          <cell r="F151">
            <v>2421.85</v>
          </cell>
        </row>
        <row r="152">
          <cell r="C152" t="str">
            <v>S04WMSH031</v>
          </cell>
          <cell r="D152" t="str">
            <v>เหล็กตะแกรง DIA 4 mm. #0.2x0.2 - 3.40x10.00 m.</v>
          </cell>
          <cell r="E152">
            <v>883.99999999999989</v>
          </cell>
          <cell r="F152">
            <v>870.4</v>
          </cell>
        </row>
        <row r="153">
          <cell r="C153" t="str">
            <v>S04WMSH032</v>
          </cell>
          <cell r="D153" t="str">
            <v>เหล็กตะแกรง DIA 4 mm. #0.2x0.2 - 3.20x10.00 m.</v>
          </cell>
          <cell r="E153">
            <v>832</v>
          </cell>
          <cell r="F153">
            <v>646.4</v>
          </cell>
        </row>
        <row r="154">
          <cell r="C154" t="str">
            <v>S04WMSH033</v>
          </cell>
          <cell r="D154" t="str">
            <v>เหล็กตะแกรง DIA 4 mm. #0.2x0.2 - 1.60x10.00 m.</v>
          </cell>
          <cell r="E154">
            <v>416</v>
          </cell>
          <cell r="F154">
            <v>313.57</v>
          </cell>
        </row>
        <row r="155">
          <cell r="C155" t="str">
            <v>S04WMSH034</v>
          </cell>
          <cell r="D155" t="str">
            <v>เหล็กตะแกรง DIA 4 mm. #0.2x0.2 - 1.80x10.00 m.</v>
          </cell>
          <cell r="E155">
            <v>468.00000000000006</v>
          </cell>
          <cell r="F155">
            <v>385.2</v>
          </cell>
        </row>
        <row r="156">
          <cell r="C156" t="str">
            <v>S04WMSH036</v>
          </cell>
          <cell r="D156" t="str">
            <v>เหล็กตะแกรง DIA 6 mm. #0.15x0.15 - 2.50x10.00 m.</v>
          </cell>
          <cell r="E156">
            <v>2057</v>
          </cell>
          <cell r="F156">
            <v>877.65</v>
          </cell>
        </row>
        <row r="157">
          <cell r="C157" t="str">
            <v>S04WMSH043</v>
          </cell>
          <cell r="D157" t="str">
            <v>เหล็กตะแกรง DIA 4 mm. #0.2x0.2 - 2.90x9.80 m.</v>
          </cell>
          <cell r="E157">
            <v>738.92</v>
          </cell>
          <cell r="F157">
            <v>670.38</v>
          </cell>
        </row>
        <row r="158">
          <cell r="C158" t="str">
            <v>S04WMSH045</v>
          </cell>
          <cell r="D158" t="str">
            <v>เหล็กตะแกรง DIA 4 mm. #0.2x0.2 - 2.50x9.80 m.</v>
          </cell>
          <cell r="E158">
            <v>637</v>
          </cell>
          <cell r="F158">
            <v>568.34</v>
          </cell>
        </row>
        <row r="159">
          <cell r="C159" t="str">
            <v>S04WMSH046</v>
          </cell>
          <cell r="D159" t="str">
            <v>เหล็กตะแกรง DIA 4 mm. #0.2x0.2 - 3.90x9.80 m.</v>
          </cell>
          <cell r="E159">
            <v>993.72</v>
          </cell>
          <cell r="F159">
            <v>917.28</v>
          </cell>
        </row>
        <row r="160">
          <cell r="C160" t="str">
            <v>S04WMSH048</v>
          </cell>
          <cell r="D160" t="str">
            <v>เหล็กตะแกรง DIA 4 mm. #0.2x0.2 - 2.40x9.80 m.</v>
          </cell>
          <cell r="E160">
            <v>611.52</v>
          </cell>
          <cell r="F160">
            <v>535.48</v>
          </cell>
        </row>
        <row r="161">
          <cell r="C161" t="str">
            <v>S04WMSH058</v>
          </cell>
          <cell r="D161" t="str">
            <v>เหล็กตะแกรง DIA 6 mm. #0.2x0.2 - 3.20x6.00 m.</v>
          </cell>
          <cell r="E161">
            <v>1152</v>
          </cell>
          <cell r="F161">
            <v>913.92</v>
          </cell>
        </row>
        <row r="162">
          <cell r="C162" t="str">
            <v>S04WMSH061</v>
          </cell>
          <cell r="D162" t="str">
            <v>เหล็กตะแกรง DIA 4 mm. #0.2x0.2 - 1.70x6.00 m.</v>
          </cell>
          <cell r="E162">
            <v>265.2</v>
          </cell>
          <cell r="F162">
            <v>243.78</v>
          </cell>
        </row>
        <row r="163">
          <cell r="C163" t="str">
            <v>S04WMSH063</v>
          </cell>
          <cell r="D163" t="str">
            <v>เหล็กตะแกรง DIA 4 mm. #0.2x0.2 - 1.70x3.00 m.</v>
          </cell>
          <cell r="E163">
            <v>132.6</v>
          </cell>
          <cell r="F163">
            <v>135.15</v>
          </cell>
        </row>
        <row r="164">
          <cell r="C164" t="str">
            <v>S04WOOD001</v>
          </cell>
          <cell r="D164" t="str">
            <v>ไม้เบญจพรรณ 1 1/2"x3''x3.00 m,</v>
          </cell>
          <cell r="E164">
            <v>65</v>
          </cell>
          <cell r="F164">
            <v>66</v>
          </cell>
        </row>
        <row r="165">
          <cell r="C165" t="str">
            <v>S04WOOD005</v>
          </cell>
          <cell r="D165" t="str">
            <v>ไม้ยาง 1 1/2" x 3" x 2.5 m.</v>
          </cell>
          <cell r="E165">
            <v>70</v>
          </cell>
          <cell r="F165">
            <v>89.78</v>
          </cell>
        </row>
        <row r="166">
          <cell r="C166" t="str">
            <v>S04WOOD014</v>
          </cell>
          <cell r="D166" t="str">
            <v>ไม้ยาง 1 1/2'' x 3'' x 3.00 ม.</v>
          </cell>
          <cell r="E166">
            <v>87</v>
          </cell>
          <cell r="F166">
            <v>110.81</v>
          </cell>
        </row>
        <row r="167">
          <cell r="C167" t="str">
            <v>S04WOOD017</v>
          </cell>
          <cell r="D167" t="str">
            <v>ไม้อัด 4' x 8' x 10 มม.</v>
          </cell>
          <cell r="E167">
            <v>300</v>
          </cell>
          <cell r="F167">
            <v>320</v>
          </cell>
        </row>
        <row r="168">
          <cell r="C168" t="str">
            <v>S04WOOD056</v>
          </cell>
          <cell r="D168" t="str">
            <v>ไม้ยาง 1" x 1" x 3.0 m.</v>
          </cell>
          <cell r="E168">
            <v>29</v>
          </cell>
          <cell r="F168">
            <v>24.63</v>
          </cell>
        </row>
        <row r="169">
          <cell r="C169" t="str">
            <v>S04WOOD095</v>
          </cell>
          <cell r="D169" t="str">
            <v>ไม้มะค่า 4" X 14" เกรด AAA</v>
          </cell>
          <cell r="E169">
            <v>1300</v>
          </cell>
          <cell r="F169">
            <v>1280</v>
          </cell>
        </row>
        <row r="170">
          <cell r="C170" t="str">
            <v>S04WOOD096</v>
          </cell>
          <cell r="D170" t="str">
            <v>บัวเชิงผนัง(บัวพื้น) ไม้มะค่า ขนาด 12x90 มม. (4'')</v>
          </cell>
          <cell r="E170">
            <v>100</v>
          </cell>
          <cell r="F170">
            <v>90</v>
          </cell>
        </row>
        <row r="171">
          <cell r="C171" t="str">
            <v>S04WOOD097</v>
          </cell>
          <cell r="D171" t="str">
            <v>บัวมอบฝ้า ไม้มะค่า ขนาด 1''x3'' (2'')</v>
          </cell>
          <cell r="E171">
            <v>110</v>
          </cell>
          <cell r="F171">
            <v>100</v>
          </cell>
        </row>
        <row r="172">
          <cell r="C172" t="str">
            <v>S04WOOD122</v>
          </cell>
          <cell r="D172" t="str">
            <v>บัวเชิงผนัง(บัวพื้น) ไม้มะค่า ขนาด 12x45 มม. (2'')</v>
          </cell>
          <cell r="E172">
            <v>55</v>
          </cell>
          <cell r="F172">
            <v>45</v>
          </cell>
        </row>
        <row r="173">
          <cell r="C173" t="str">
            <v>S04WOOD124</v>
          </cell>
          <cell r="D173" t="str">
            <v>บัวเชิงผนัง(บัวพื้น) ไม้เต็ง ขนาด 12x90 มม. (4'')</v>
          </cell>
          <cell r="E173">
            <v>35</v>
          </cell>
          <cell r="F173">
            <v>33</v>
          </cell>
        </row>
        <row r="174">
          <cell r="C174" t="str">
            <v>S04WOOD125</v>
          </cell>
          <cell r="D174" t="str">
            <v>บัวมอบฝ้า ไม้เต็ง ขนาด 1''x3'' (2'')</v>
          </cell>
          <cell r="E174">
            <v>35</v>
          </cell>
          <cell r="F174">
            <v>27</v>
          </cell>
        </row>
        <row r="175">
          <cell r="C175" t="str">
            <v>S04WOOD127</v>
          </cell>
          <cell r="D175" t="str">
            <v>ไม้มะค่าขนาด  1" x 4"  ยาว  1.00  ม.</v>
          </cell>
          <cell r="E175">
            <v>140</v>
          </cell>
          <cell r="F175">
            <v>135</v>
          </cell>
        </row>
        <row r="176">
          <cell r="C176" t="str">
            <v>S05ASCP001</v>
          </cell>
          <cell r="D176" t="str">
            <v>ท่อซีเมนต์ใยหิน 6" x 3 m.</v>
          </cell>
          <cell r="E176">
            <v>90</v>
          </cell>
          <cell r="F176">
            <v>69.14</v>
          </cell>
        </row>
        <row r="177">
          <cell r="C177" t="str">
            <v>S05GLUE005</v>
          </cell>
          <cell r="D177" t="str">
            <v>ซิลิโคน</v>
          </cell>
          <cell r="E177">
            <v>107</v>
          </cell>
          <cell r="F177">
            <v>107</v>
          </cell>
        </row>
        <row r="178">
          <cell r="C178" t="str">
            <v>S05MHOL001</v>
          </cell>
          <cell r="D178" t="str">
            <v>บ่อพักสำเร็จรูปพร้อมฝา</v>
          </cell>
          <cell r="E178">
            <v>75</v>
          </cell>
          <cell r="F178">
            <v>62.08</v>
          </cell>
        </row>
        <row r="179">
          <cell r="C179" t="str">
            <v>S06CHWM001</v>
          </cell>
          <cell r="D179" t="str">
            <v>ลวดตาข่ายDIA0.8mm.1.25x1.25cm.-0.9x30m.</v>
          </cell>
          <cell r="E179">
            <v>600</v>
          </cell>
          <cell r="F179">
            <v>580</v>
          </cell>
        </row>
        <row r="180">
          <cell r="C180" t="str">
            <v>S07CMT012</v>
          </cell>
          <cell r="D180" t="str">
            <v>แผ่นสะท้อนความร้อน 1.25x60 ม.</v>
          </cell>
          <cell r="E180">
            <v>3588</v>
          </cell>
          <cell r="F180">
            <v>3839.1600000000003</v>
          </cell>
        </row>
        <row r="181">
          <cell r="C181" t="str">
            <v>S07CMTL001</v>
          </cell>
          <cell r="D181" t="str">
            <v>ครอบสันโค้ง</v>
          </cell>
          <cell r="E181">
            <v>31.5</v>
          </cell>
          <cell r="F181">
            <v>18.09</v>
          </cell>
        </row>
        <row r="182">
          <cell r="C182" t="str">
            <v>S07CMTL002</v>
          </cell>
          <cell r="D182" t="str">
            <v>ครอบปิดจั่ว</v>
          </cell>
          <cell r="E182">
            <v>40.25</v>
          </cell>
          <cell r="F182">
            <v>28</v>
          </cell>
        </row>
        <row r="183">
          <cell r="C183" t="str">
            <v>S07CMTL003</v>
          </cell>
          <cell r="D183" t="str">
            <v>ครอบข้างปิดชาย</v>
          </cell>
          <cell r="E183">
            <v>39.5</v>
          </cell>
          <cell r="F183">
            <v>28</v>
          </cell>
        </row>
        <row r="184">
          <cell r="C184" t="str">
            <v>S07CMTL004</v>
          </cell>
          <cell r="D184" t="str">
            <v>ครอบข้าง 90</v>
          </cell>
          <cell r="E184">
            <v>31.5</v>
          </cell>
          <cell r="F184">
            <v>18</v>
          </cell>
        </row>
        <row r="185">
          <cell r="C185" t="str">
            <v>S07CMTL005</v>
          </cell>
          <cell r="D185" t="str">
            <v>ครอบโค้งหางมน</v>
          </cell>
          <cell r="E185">
            <v>48.5</v>
          </cell>
          <cell r="F185">
            <v>28</v>
          </cell>
        </row>
        <row r="186">
          <cell r="C186" t="str">
            <v>S07CMTL006</v>
          </cell>
          <cell r="D186" t="str">
            <v>ครอบโค้งสามทาง</v>
          </cell>
          <cell r="E186">
            <v>55.5</v>
          </cell>
          <cell r="F186">
            <v>28</v>
          </cell>
        </row>
        <row r="187">
          <cell r="C187" t="str">
            <v>S07CMTL009</v>
          </cell>
          <cell r="D187" t="str">
            <v>กระเบื้อง CPAC โมเนียสีอิฐอำไพ</v>
          </cell>
          <cell r="E187">
            <v>16</v>
          </cell>
          <cell r="F187">
            <v>10.43</v>
          </cell>
        </row>
        <row r="188">
          <cell r="C188" t="str">
            <v>S07CMTL010</v>
          </cell>
          <cell r="D188" t="str">
            <v>กระเบื้อง CPAC โมเนียสีประกายทอง</v>
          </cell>
          <cell r="E188">
            <v>11.75</v>
          </cell>
          <cell r="F188">
            <v>11.75</v>
          </cell>
        </row>
        <row r="189">
          <cell r="C189" t="str">
            <v>S07CMTL011</v>
          </cell>
          <cell r="D189" t="str">
            <v>กระเบื้อง CPAC โมเนียสีดินเผา</v>
          </cell>
          <cell r="E189">
            <v>16</v>
          </cell>
          <cell r="F189">
            <v>15.95</v>
          </cell>
        </row>
        <row r="190">
          <cell r="C190" t="str">
            <v>S07CMTL012</v>
          </cell>
          <cell r="D190" t="str">
            <v>แผ่นสะท้อนความร้อน 1.25 x 60 ม.</v>
          </cell>
          <cell r="E190">
            <v>3588</v>
          </cell>
          <cell r="F190">
            <v>3588</v>
          </cell>
        </row>
        <row r="191">
          <cell r="C191" t="str">
            <v>S07CMTL013</v>
          </cell>
          <cell r="D191" t="str">
            <v>แผ่นสะท้อนความร้อน 1.25x20 ม.</v>
          </cell>
          <cell r="E191">
            <v>1450</v>
          </cell>
          <cell r="F191">
            <v>1450</v>
          </cell>
        </row>
        <row r="192">
          <cell r="C192" t="str">
            <v>S07CMTL014</v>
          </cell>
          <cell r="D192" t="str">
            <v>ครอบโค้งสี่ทาง</v>
          </cell>
          <cell r="E192">
            <v>56</v>
          </cell>
          <cell r="F192">
            <v>50.25</v>
          </cell>
        </row>
        <row r="193">
          <cell r="C193" t="str">
            <v>S07CMTL015</v>
          </cell>
          <cell r="D193" t="str">
            <v>แผ่นปิดรอยต่อ</v>
          </cell>
          <cell r="E193">
            <v>320</v>
          </cell>
          <cell r="F193">
            <v>320</v>
          </cell>
        </row>
        <row r="194">
          <cell r="C194" t="str">
            <v>S07CMTL017</v>
          </cell>
          <cell r="D194" t="str">
            <v>แผ่นปิดเชิงชาย ( ลอนกาบกล้วย )</v>
          </cell>
          <cell r="E194">
            <v>175</v>
          </cell>
          <cell r="F194">
            <v>17.5</v>
          </cell>
        </row>
        <row r="195">
          <cell r="C195" t="str">
            <v>S07CMTL019</v>
          </cell>
          <cell r="D195" t="str">
            <v>ครอบผนังโค้ง</v>
          </cell>
          <cell r="E195">
            <v>42.5</v>
          </cell>
          <cell r="F195">
            <v>44</v>
          </cell>
        </row>
        <row r="196">
          <cell r="C196" t="str">
            <v>S07CMTL020</v>
          </cell>
          <cell r="D196" t="str">
            <v>ครอบข้างผนัง</v>
          </cell>
          <cell r="E196">
            <v>32.5</v>
          </cell>
          <cell r="F196">
            <v>27.25</v>
          </cell>
        </row>
        <row r="197">
          <cell r="C197" t="str">
            <v>S07CMTL021</v>
          </cell>
          <cell r="D197" t="str">
            <v>อุปกรณ์ติดตั้งครอบผนังโค้ง</v>
          </cell>
          <cell r="E197">
            <v>2490</v>
          </cell>
          <cell r="F197">
            <v>2490</v>
          </cell>
        </row>
        <row r="198">
          <cell r="C198" t="str">
            <v>S07CMTL022</v>
          </cell>
          <cell r="D198" t="str">
            <v>กระเบื้องลอนสีเขียวพรายทะเล</v>
          </cell>
          <cell r="E198">
            <v>9</v>
          </cell>
          <cell r="F198">
            <v>9</v>
          </cell>
        </row>
        <row r="199">
          <cell r="C199" t="str">
            <v>S07CMTL027</v>
          </cell>
          <cell r="D199" t="str">
            <v>กระเบื้องซีแพคโมเนียประกายอำพัน</v>
          </cell>
          <cell r="E199">
            <v>14</v>
          </cell>
          <cell r="F199">
            <v>11.75</v>
          </cell>
        </row>
        <row r="200">
          <cell r="C200" t="str">
            <v>S07CMTL030</v>
          </cell>
          <cell r="D200" t="str">
            <v>แผ่นปิดรางน้ำหัวตะเข้</v>
          </cell>
          <cell r="E200">
            <v>300</v>
          </cell>
          <cell r="F200">
            <v>320</v>
          </cell>
        </row>
        <row r="201">
          <cell r="C201" t="str">
            <v>S07CMTL035</v>
          </cell>
          <cell r="D201" t="str">
            <v>สีทาปูนทรายสีประกายทอง</v>
          </cell>
          <cell r="E201">
            <v>380</v>
          </cell>
          <cell r="F201">
            <v>270</v>
          </cell>
        </row>
        <row r="202">
          <cell r="C202" t="str">
            <v>S07CMTL037</v>
          </cell>
          <cell r="D202" t="str">
            <v>สีทาปูนทรายสีประกายอำพัน</v>
          </cell>
          <cell r="E202">
            <v>380</v>
          </cell>
          <cell r="F202">
            <v>320</v>
          </cell>
        </row>
        <row r="203">
          <cell r="C203" t="str">
            <v>S07CMTL038</v>
          </cell>
          <cell r="D203" t="str">
            <v>โครงหลังคา SMARTRUSS</v>
          </cell>
          <cell r="F203">
            <v>63650</v>
          </cell>
        </row>
        <row r="204">
          <cell r="C204" t="str">
            <v>S08STNR001</v>
          </cell>
          <cell r="D204" t="str">
            <v>จมูกบันได ระยะ 1.20 ม.</v>
          </cell>
          <cell r="E204">
            <v>40</v>
          </cell>
          <cell r="F204">
            <v>55</v>
          </cell>
        </row>
        <row r="205">
          <cell r="C205" t="str">
            <v>S08STNR003</v>
          </cell>
          <cell r="D205" t="str">
            <v>คิ้ว PVC KOENIG CT-60  ( 2m./เส้น )</v>
          </cell>
          <cell r="E205">
            <v>67</v>
          </cell>
          <cell r="F205">
            <v>67</v>
          </cell>
        </row>
        <row r="206">
          <cell r="C206" t="str">
            <v>S08TILE004</v>
          </cell>
          <cell r="D206" t="str">
            <v>กระเบื้อง CASA 8" x 8" ลำพูน</v>
          </cell>
          <cell r="E206">
            <v>4.3</v>
          </cell>
          <cell r="F206">
            <v>4.3</v>
          </cell>
        </row>
        <row r="207">
          <cell r="C207" t="str">
            <v>S08TILE012</v>
          </cell>
          <cell r="D207" t="str">
            <v>กระเบื้อง COTTO 8" x 8" มอนทานา เทอราคาตต้า</v>
          </cell>
          <cell r="E207">
            <v>5.8</v>
          </cell>
          <cell r="F207">
            <v>6.21</v>
          </cell>
        </row>
        <row r="208">
          <cell r="C208" t="str">
            <v>S08TILE016</v>
          </cell>
          <cell r="D208" t="str">
            <v>กระเบื้อง 8" x 8" ลีลา</v>
          </cell>
          <cell r="E208">
            <v>5.3</v>
          </cell>
          <cell r="F208">
            <v>5.83</v>
          </cell>
        </row>
        <row r="209">
          <cell r="C209" t="str">
            <v>S08TILE030</v>
          </cell>
          <cell r="D209" t="str">
            <v>กระเบื้อง COTTO 13"x13" แอนติก้าชมพูเข้ม</v>
          </cell>
          <cell r="E209">
            <v>26</v>
          </cell>
          <cell r="F209">
            <v>20</v>
          </cell>
        </row>
        <row r="210">
          <cell r="C210" t="str">
            <v>S08TILE031</v>
          </cell>
          <cell r="D210" t="str">
            <v>กระเบื้อง COTTO 8"x8" เคนซิงตันโรสซาลมอน</v>
          </cell>
          <cell r="E210">
            <v>29</v>
          </cell>
          <cell r="F210">
            <v>5.9</v>
          </cell>
        </row>
        <row r="211">
          <cell r="C211" t="str">
            <v>S08TILE033</v>
          </cell>
          <cell r="D211" t="str">
            <v>กระเบื้อง COTTO 18"x18" อธีมีสเนื้อ</v>
          </cell>
          <cell r="E211">
            <v>55.6</v>
          </cell>
          <cell r="F211">
            <v>45.6</v>
          </cell>
        </row>
        <row r="212">
          <cell r="C212" t="str">
            <v>S08TILE036</v>
          </cell>
          <cell r="D212" t="str">
            <v>กระเบื้อง COTTO  8"x10" IMPALA WHITE</v>
          </cell>
          <cell r="E212">
            <v>13.5</v>
          </cell>
          <cell r="F212">
            <v>8</v>
          </cell>
        </row>
        <row r="213">
          <cell r="C213" t="str">
            <v>S08TILE037</v>
          </cell>
          <cell r="D213" t="str">
            <v>กระเบื้อง COTTO  2.5"x8" IMPALA HERBAL</v>
          </cell>
          <cell r="E213">
            <v>38.5</v>
          </cell>
          <cell r="F213">
            <v>38.5</v>
          </cell>
        </row>
        <row r="214">
          <cell r="C214" t="str">
            <v>S08TILE038</v>
          </cell>
          <cell r="D214" t="str">
            <v>กระเบื้อง COTTO  12"x12" CANCUN BEIGE</v>
          </cell>
          <cell r="E214">
            <v>17</v>
          </cell>
          <cell r="F214">
            <v>13.3</v>
          </cell>
        </row>
        <row r="215">
          <cell r="C215" t="str">
            <v>S08TILE039</v>
          </cell>
          <cell r="D215" t="str">
            <v>กระเบื้อง COTTO  8"x8" GLOSS WHITE</v>
          </cell>
          <cell r="E215">
            <v>13.5</v>
          </cell>
          <cell r="F215">
            <v>6.5</v>
          </cell>
        </row>
        <row r="216">
          <cell r="C216" t="str">
            <v>S08TILE041</v>
          </cell>
          <cell r="D216" t="str">
            <v>กระเบื้อง COTTO13"x13" แอนติก้าเนื้อเข้ม</v>
          </cell>
          <cell r="E216">
            <v>23</v>
          </cell>
          <cell r="F216">
            <v>20</v>
          </cell>
        </row>
        <row r="217">
          <cell r="C217" t="str">
            <v>S08TILE048</v>
          </cell>
          <cell r="D217" t="str">
            <v>กระเบื้อง COTTO 18"x18" นทีกาญจน์เนื้อ</v>
          </cell>
          <cell r="E217">
            <v>42</v>
          </cell>
          <cell r="F217">
            <v>44.94</v>
          </cell>
        </row>
        <row r="218">
          <cell r="C218" t="str">
            <v>S08TILE052</v>
          </cell>
          <cell r="D218" t="str">
            <v>กระเบื้องเซรามิก 8" x 8" ไอสวรรค์-มรกต โสสุโก้</v>
          </cell>
          <cell r="E218">
            <v>5.15</v>
          </cell>
          <cell r="F218">
            <v>5.51</v>
          </cell>
        </row>
        <row r="219">
          <cell r="C219" t="str">
            <v>S08TILE053</v>
          </cell>
          <cell r="D219" t="str">
            <v>กระเบื้องเซรามิก 2" x 2" PT-F007 มรกตแก้วปั้นแต่ง</v>
          </cell>
          <cell r="E219">
            <v>2.75</v>
          </cell>
          <cell r="F219">
            <v>2.75</v>
          </cell>
        </row>
        <row r="220">
          <cell r="C220" t="str">
            <v>S08TILE054</v>
          </cell>
          <cell r="D220" t="str">
            <v>กระเบื้องเซรามิก 2" x 2" PT-F009 หยกแก้วปั้นแต่ง</v>
          </cell>
          <cell r="E220">
            <v>2.75</v>
          </cell>
          <cell r="F220">
            <v>2.75</v>
          </cell>
        </row>
        <row r="221">
          <cell r="C221" t="str">
            <v>S08TILE057</v>
          </cell>
          <cell r="D221" t="str">
            <v>กระเบื้อง COTTO 12" x 12" นาทูร่า ไอวอรี</v>
          </cell>
          <cell r="E221">
            <v>15.75</v>
          </cell>
          <cell r="F221">
            <v>16.850000000000001</v>
          </cell>
        </row>
        <row r="222">
          <cell r="C222" t="str">
            <v>S08TILE830</v>
          </cell>
          <cell r="D222" t="str">
            <v>กระเบื้องจูเลีย ขาว 8" X 8" CAMPANA</v>
          </cell>
          <cell r="E222">
            <v>5.5</v>
          </cell>
          <cell r="F222">
            <v>5.5</v>
          </cell>
        </row>
        <row r="223">
          <cell r="C223" t="str">
            <v>S08TILE838</v>
          </cell>
          <cell r="D223" t="str">
            <v>กระเบื้อง PICASSO IVORY 12" X 12" COTTO</v>
          </cell>
          <cell r="E223">
            <v>25</v>
          </cell>
          <cell r="F223">
            <v>25</v>
          </cell>
        </row>
        <row r="224">
          <cell r="C224" t="str">
            <v>S08TILE839</v>
          </cell>
          <cell r="D224" t="str">
            <v>กระเบื้อง PICASSO IVORY 10" X 16" COTTO</v>
          </cell>
          <cell r="E224">
            <v>27</v>
          </cell>
          <cell r="F224">
            <v>27</v>
          </cell>
        </row>
        <row r="225">
          <cell r="C225" t="str">
            <v>S08TILE840</v>
          </cell>
          <cell r="D225" t="str">
            <v>กระเบื้อง PICASSO WHITE 10" X 16" COTTO</v>
          </cell>
          <cell r="E225">
            <v>27</v>
          </cell>
          <cell r="F225">
            <v>27</v>
          </cell>
        </row>
        <row r="226">
          <cell r="C226" t="str">
            <v>S08TILE841</v>
          </cell>
          <cell r="D226" t="str">
            <v>กระเบื้อง PICASSO  MURANO WHITE-YELLOW(L2) 3.25" X 10" COTTO</v>
          </cell>
          <cell r="E226">
            <v>100</v>
          </cell>
          <cell r="F226">
            <v>100</v>
          </cell>
        </row>
        <row r="227">
          <cell r="C227" t="str">
            <v>S08TILE842</v>
          </cell>
          <cell r="D227" t="str">
            <v>กระเบื้อง เคนซิงตันสีเขียวอ่อน 13" X 13" COTTO</v>
          </cell>
          <cell r="E227">
            <v>23</v>
          </cell>
          <cell r="F227">
            <v>23</v>
          </cell>
        </row>
        <row r="228">
          <cell r="C228" t="str">
            <v>S08TILE843</v>
          </cell>
          <cell r="D228" t="str">
            <v>กระเบื้อง AMANDA WHITE  8" X 10" COTTO</v>
          </cell>
          <cell r="E228">
            <v>12.5</v>
          </cell>
          <cell r="F228">
            <v>8</v>
          </cell>
        </row>
        <row r="229">
          <cell r="C229" t="str">
            <v>S08TILE844</v>
          </cell>
          <cell r="D229" t="str">
            <v>กระเบื้อง AMANDA  VERMONT GREEN (listello) 2.5" X 8" COTTO</v>
          </cell>
          <cell r="E229">
            <v>42</v>
          </cell>
          <cell r="F229">
            <v>38</v>
          </cell>
        </row>
        <row r="230">
          <cell r="C230" t="str">
            <v>S08TILE845</v>
          </cell>
          <cell r="D230" t="str">
            <v>กระเบื้อง ไดนาสตี้ MARBLE BEIGE 50X50 cm</v>
          </cell>
          <cell r="E230">
            <v>93.46</v>
          </cell>
          <cell r="F230">
            <v>93.46</v>
          </cell>
        </row>
        <row r="231">
          <cell r="C231" t="str">
            <v>S08TILE846</v>
          </cell>
          <cell r="D231" t="str">
            <v>กระเบื้อง STONE BEIGE 13" X 13" COTTO</v>
          </cell>
          <cell r="E231">
            <v>21</v>
          </cell>
          <cell r="F231">
            <v>21</v>
          </cell>
        </row>
        <row r="232">
          <cell r="C232" t="str">
            <v>S08TILE847</v>
          </cell>
          <cell r="D232" t="str">
            <v>กระเบื้อง อินเดียนเสลทเนื้อ 13" X 13" COTTO</v>
          </cell>
          <cell r="E232">
            <v>23</v>
          </cell>
          <cell r="F232">
            <v>23</v>
          </cell>
        </row>
        <row r="233">
          <cell r="C233" t="str">
            <v>S08TILE848</v>
          </cell>
          <cell r="D233" t="str">
            <v>กระเบื้อง เอ็กเซลขาว 12" X 12"</v>
          </cell>
          <cell r="E233">
            <v>12.5</v>
          </cell>
          <cell r="F233">
            <v>12.5</v>
          </cell>
        </row>
        <row r="234">
          <cell r="C234" t="str">
            <v>S08TILE849</v>
          </cell>
          <cell r="D234" t="str">
            <v>กระเบื้องFOSSIL TERRACOTTA  13" X 13" COTTO</v>
          </cell>
          <cell r="E234">
            <v>23</v>
          </cell>
          <cell r="F234">
            <v>23</v>
          </cell>
        </row>
        <row r="235">
          <cell r="C235" t="str">
            <v>S08TILE850</v>
          </cell>
          <cell r="D235" t="str">
            <v>กระเบื้อง 13063 ดอราโด สโตน OD5835 50x50 cm.</v>
          </cell>
          <cell r="E235">
            <v>105</v>
          </cell>
          <cell r="F235">
            <v>105</v>
          </cell>
        </row>
        <row r="236">
          <cell r="C236" t="str">
            <v>S08TILE851</v>
          </cell>
          <cell r="D236" t="str">
            <v>กระเบื้อง FOSSIL BONE  13" X 13" COTTO</v>
          </cell>
          <cell r="E236">
            <v>23</v>
          </cell>
          <cell r="F236">
            <v>23</v>
          </cell>
        </row>
        <row r="237">
          <cell r="C237" t="str">
            <v>S08TILE857</v>
          </cell>
          <cell r="D237" t="str">
            <v>กระเบื้อง VICENZA BEIGE 12"X12" COTTO</v>
          </cell>
          <cell r="E237">
            <v>14</v>
          </cell>
          <cell r="F237">
            <v>14</v>
          </cell>
        </row>
        <row r="238">
          <cell r="C238" t="str">
            <v>S08TILE859</v>
          </cell>
          <cell r="D238" t="str">
            <v>กระเบื้อง OMICA กรุยเชิงใหญ่แวร์ซายน์ครีโม่ 10 x 33 cm.</v>
          </cell>
          <cell r="E238">
            <v>180</v>
          </cell>
          <cell r="F238">
            <v>180</v>
          </cell>
        </row>
        <row r="239">
          <cell r="C239" t="str">
            <v>S08TILE860</v>
          </cell>
          <cell r="D239" t="str">
            <v>กระเบื้อง CERES IVORY R/T 12" X 24" COTTO</v>
          </cell>
          <cell r="E239">
            <v>130</v>
          </cell>
          <cell r="F239">
            <v>130</v>
          </cell>
        </row>
        <row r="240">
          <cell r="C240" t="str">
            <v>S08TILE861</v>
          </cell>
          <cell r="D240" t="str">
            <v xml:space="preserve">กระเบื้อง IRIS FLORA BEIGE(L2) R/T 4" X12" COTTO </v>
          </cell>
          <cell r="E240">
            <v>210</v>
          </cell>
          <cell r="F240">
            <v>210</v>
          </cell>
        </row>
        <row r="241">
          <cell r="C241" t="str">
            <v>S08TILE862</v>
          </cell>
          <cell r="D241" t="str">
            <v xml:space="preserve">กระเบื้อง IRIS FLORA BROWN(L1) R/T 1" X12" COTTO </v>
          </cell>
          <cell r="E241">
            <v>160</v>
          </cell>
          <cell r="F241">
            <v>160</v>
          </cell>
        </row>
        <row r="242">
          <cell r="C242" t="str">
            <v>S08TILE863</v>
          </cell>
          <cell r="D242" t="str">
            <v>กระเบื้อง ไดนาสตี้ เวอร์จิเนีย 5000 50x50 cm.</v>
          </cell>
          <cell r="E242">
            <v>93.4</v>
          </cell>
          <cell r="F242">
            <v>93.46</v>
          </cell>
        </row>
        <row r="243">
          <cell r="C243" t="str">
            <v>S08TILE864</v>
          </cell>
          <cell r="D243" t="str">
            <v>กระเบื้อง VICENZA BEIGE R/T 12"X24" COTTO</v>
          </cell>
          <cell r="E243">
            <v>130</v>
          </cell>
          <cell r="F243">
            <v>130</v>
          </cell>
        </row>
        <row r="244">
          <cell r="C244" t="str">
            <v>S08TILE865</v>
          </cell>
          <cell r="D244" t="str">
            <v>กระเบื้อง VICENZA  CLASSIC BEIGE(L) R/T 3.25"X12" COTTO</v>
          </cell>
          <cell r="E244">
            <v>196</v>
          </cell>
          <cell r="F244">
            <v>196</v>
          </cell>
        </row>
        <row r="245">
          <cell r="C245" t="str">
            <v>S08TILE867</v>
          </cell>
          <cell r="D245" t="str">
            <v>กระเบื้อง COLESEUM TERRACOTTA 13"X13" COTTO</v>
          </cell>
          <cell r="E245">
            <v>23</v>
          </cell>
          <cell r="F245">
            <v>23</v>
          </cell>
        </row>
        <row r="246">
          <cell r="C246" t="str">
            <v>S08TILE868</v>
          </cell>
          <cell r="D246" t="str">
            <v>กระเบื้อง VENETIAN BEIGE 13"X13" COTTO</v>
          </cell>
          <cell r="E246">
            <v>26.5</v>
          </cell>
          <cell r="F246">
            <v>26.5</v>
          </cell>
        </row>
        <row r="247">
          <cell r="C247" t="str">
            <v>S08TILE869</v>
          </cell>
          <cell r="D247" t="str">
            <v>กระเบื้อง VENETIAN CLASSIC BEIGE(B) 6.5"X13" COTTO</v>
          </cell>
          <cell r="E247">
            <v>40</v>
          </cell>
          <cell r="F247">
            <v>40</v>
          </cell>
        </row>
        <row r="248">
          <cell r="C248" t="str">
            <v>S08TILE870</v>
          </cell>
          <cell r="D248" t="str">
            <v>กระเบื้อง VENETIAN CLASSIC BEIGE(C) 6.5"X6.5" COTTO</v>
          </cell>
          <cell r="E248">
            <v>26.5</v>
          </cell>
          <cell r="F248">
            <v>26.5</v>
          </cell>
        </row>
        <row r="249">
          <cell r="C249" t="str">
            <v>S08TILE872</v>
          </cell>
          <cell r="D249" t="str">
            <v>กระเบื้อง OMICA แวร์ซายน์ครีโม่ เข้ม 25 x 33 cm.</v>
          </cell>
          <cell r="E249">
            <v>29</v>
          </cell>
          <cell r="F249">
            <v>29</v>
          </cell>
        </row>
        <row r="250">
          <cell r="C250" t="str">
            <v>S08TILE873</v>
          </cell>
          <cell r="D250" t="str">
            <v>กระเบื้อง OMICA แวร์ซายน์ครีโม่ อ่อน 25 x 33 cm.</v>
          </cell>
          <cell r="E250">
            <v>29</v>
          </cell>
          <cell r="F250">
            <v>29</v>
          </cell>
        </row>
        <row r="251">
          <cell r="C251" t="str">
            <v>S08TILE875</v>
          </cell>
          <cell r="D251" t="str">
            <v>กระเบื้อง CAMPANA 8"x8" โบน</v>
          </cell>
          <cell r="E251">
            <v>5.5</v>
          </cell>
          <cell r="F251">
            <v>5.51</v>
          </cell>
        </row>
        <row r="252">
          <cell r="C252" t="str">
            <v>S08TILE877</v>
          </cell>
          <cell r="D252" t="str">
            <v>กระเบื้อง REMBRADT COTTO 13" X 13" COTTO</v>
          </cell>
          <cell r="E252">
            <v>26.5</v>
          </cell>
          <cell r="F252">
            <v>26.5</v>
          </cell>
        </row>
        <row r="253">
          <cell r="C253" t="str">
            <v>S08TILE878</v>
          </cell>
          <cell r="D253" t="str">
            <v>กระเบื้อง FABRIC ALMOND 10" X 16" COTTO</v>
          </cell>
          <cell r="E253">
            <v>28</v>
          </cell>
          <cell r="F253">
            <v>28</v>
          </cell>
        </row>
        <row r="254">
          <cell r="C254" t="str">
            <v>S08TILE879</v>
          </cell>
          <cell r="D254" t="str">
            <v>กระเบื้อง FABRIC WHITE 10" X 16" COTTO</v>
          </cell>
          <cell r="E254">
            <v>28</v>
          </cell>
          <cell r="F254">
            <v>28</v>
          </cell>
        </row>
        <row r="255">
          <cell r="C255" t="str">
            <v>S08TILE880</v>
          </cell>
          <cell r="D255" t="str">
            <v>กระเบื้อง FABRIC MODERN BROWN(L2) 3.25" X 10" COTTO</v>
          </cell>
          <cell r="E255">
            <v>100</v>
          </cell>
          <cell r="F255">
            <v>100</v>
          </cell>
        </row>
        <row r="256">
          <cell r="C256" t="str">
            <v>S08TILE881</v>
          </cell>
          <cell r="D256" t="str">
            <v>กระเบื้อง OMICA OM 5510  33 x 50 cm.</v>
          </cell>
          <cell r="E256">
            <v>59.16</v>
          </cell>
          <cell r="F256">
            <v>59.16</v>
          </cell>
        </row>
        <row r="257">
          <cell r="C257" t="str">
            <v>S08TILE881</v>
          </cell>
          <cell r="D257" t="str">
            <v>กระเบื้อง OMICA OM 5510  33 x 50 cm.</v>
          </cell>
          <cell r="E257">
            <v>59.16</v>
          </cell>
          <cell r="F257">
            <v>59.16</v>
          </cell>
        </row>
        <row r="258">
          <cell r="C258" t="str">
            <v>S08TILE882</v>
          </cell>
          <cell r="D258" t="str">
            <v>กระเบื้อง BS 6011 60X60 cm.เซ็นทรัล พรีเมียร์ (คิดเป็น 76.32 ตร.ม.) (ราคาต่อตารางเมตร)</v>
          </cell>
          <cell r="E258">
            <v>1330</v>
          </cell>
          <cell r="F258">
            <v>153</v>
          </cell>
        </row>
        <row r="259">
          <cell r="C259" t="str">
            <v>S08TILE883</v>
          </cell>
          <cell r="D259" t="str">
            <v>QUARELLA T-05 ROSA DELGARDA กว้าง 20 cm. 
ซื้อกระเบื้องขนาด 0.30x0.60 ม. (1 pcs.=1 แผ่น) คิดเป็น 14.58 ตร.ม.(ราคาต่อตารางเมตร)</v>
          </cell>
          <cell r="E259">
            <v>1610</v>
          </cell>
          <cell r="F259">
            <v>197</v>
          </cell>
        </row>
        <row r="260">
          <cell r="C260" t="str">
            <v>S08TILE884</v>
          </cell>
          <cell r="D260" t="str">
            <v>QUARELLA T-11 ROSSO ASIAAGO  กว้าง 15 cm. COTTO 
ซื้อกระเบื้องขนาด 0.30x0.60 ม. (2 pcs.=1 แผ่น) คิดเป็น 1.44 ตร.ม.</v>
          </cell>
          <cell r="E260">
            <v>1750</v>
          </cell>
          <cell r="F260">
            <v>289.8</v>
          </cell>
        </row>
        <row r="261">
          <cell r="C261" t="str">
            <v>S08TILE885</v>
          </cell>
          <cell r="D261" t="str">
            <v>QUARELLA  T-16 RASOTICA  กว้าง 20 cm. 
ซื้อกระเบื้องขนาด 0.30x0.60 ม. (1 pcs.=1 แผ่น) คิดเป็น 22.32 ตร.ม.(ราคาต่อตารางเมตร)</v>
          </cell>
          <cell r="E261">
            <v>1750</v>
          </cell>
          <cell r="F261">
            <v>315</v>
          </cell>
        </row>
        <row r="262">
          <cell r="C262" t="str">
            <v>S08TILE886</v>
          </cell>
          <cell r="D262" t="str">
            <v>กระเบื้อง RCI SLATE IVORY 30X30 cm.</v>
          </cell>
          <cell r="E262">
            <v>32</v>
          </cell>
          <cell r="F262">
            <v>32</v>
          </cell>
        </row>
        <row r="263">
          <cell r="C263" t="str">
            <v>S08TILE888</v>
          </cell>
          <cell r="D263" t="str">
            <v>กระเบื้อง RU-118 แกรนิโต้ดำ กว้าง 15 cm. RCI (16''x16'')</v>
          </cell>
          <cell r="E263">
            <v>105</v>
          </cell>
          <cell r="F263">
            <v>103</v>
          </cell>
        </row>
        <row r="264">
          <cell r="C264" t="str">
            <v>S08TILE889</v>
          </cell>
          <cell r="D264" t="str">
            <v>กระเบื้องไพโรไทล์ ขนาด 4"x8" รุ่น SP190/12B-14</v>
          </cell>
          <cell r="E264">
            <v>4.8899999999999997</v>
          </cell>
          <cell r="F264">
            <v>4.8899999999999997</v>
          </cell>
        </row>
        <row r="265">
          <cell r="C265" t="str">
            <v>S08TILE900</v>
          </cell>
          <cell r="D265" t="str">
            <v>กระเบื้อง COTTO 4"x4" ปิกัสโซ ไอวอรี</v>
          </cell>
          <cell r="E265">
            <v>3.5</v>
          </cell>
          <cell r="F265">
            <v>3.75</v>
          </cell>
        </row>
        <row r="266">
          <cell r="C266" t="str">
            <v>S08TILE901</v>
          </cell>
          <cell r="D266" t="str">
            <v>กระเบื้อง COTTO 4"x4" ปิกัสโซเขียว</v>
          </cell>
          <cell r="E266">
            <v>3.5</v>
          </cell>
          <cell r="F266">
            <v>3.75</v>
          </cell>
        </row>
        <row r="267">
          <cell r="C267" t="str">
            <v>S09OLRA001</v>
          </cell>
          <cell r="D267" t="str">
            <v>น้ำยาทาแบบ</v>
          </cell>
          <cell r="E267">
            <v>16</v>
          </cell>
          <cell r="F267">
            <v>16.59</v>
          </cell>
        </row>
        <row r="268">
          <cell r="C268" t="str">
            <v>S09PANT001</v>
          </cell>
          <cell r="D268" t="str">
            <v>สีรองพื้นปูนใหม่ TOA (5GL./ถัง)</v>
          </cell>
          <cell r="E268">
            <v>1526.35</v>
          </cell>
          <cell r="F268">
            <v>1526.35</v>
          </cell>
        </row>
        <row r="269">
          <cell r="C269" t="str">
            <v>S09PANT002</v>
          </cell>
          <cell r="D269" t="str">
            <v xml:space="preserve">สีภายใน A1000 Four seasons </v>
          </cell>
          <cell r="F269">
            <v>947.82</v>
          </cell>
        </row>
        <row r="270">
          <cell r="C270" t="str">
            <v>S09PANT003</v>
          </cell>
          <cell r="D270" t="str">
            <v>สีภายนอก A5003 Four seasons</v>
          </cell>
          <cell r="F270">
            <v>1263.75</v>
          </cell>
        </row>
        <row r="271">
          <cell r="C271" t="str">
            <v>S09PANT004</v>
          </cell>
          <cell r="D271" t="str">
            <v>สีภายใน A5004 Four seasons</v>
          </cell>
          <cell r="F271">
            <v>947.82</v>
          </cell>
        </row>
        <row r="272">
          <cell r="C272" t="str">
            <v>S09PANT005</v>
          </cell>
          <cell r="D272" t="str">
            <v>สีภายนอก A5004 Four seasons</v>
          </cell>
          <cell r="F272">
            <v>1263.75</v>
          </cell>
        </row>
        <row r="273">
          <cell r="C273" t="str">
            <v>S09PANT006</v>
          </cell>
          <cell r="D273" t="str">
            <v>สีภายนอก A6002 Four seasons</v>
          </cell>
          <cell r="F273">
            <v>264.24</v>
          </cell>
        </row>
        <row r="274">
          <cell r="C274" t="str">
            <v>S09PANT007</v>
          </cell>
          <cell r="D274" t="str">
            <v>สีภายนอก A6007 Four seasons</v>
          </cell>
          <cell r="F274">
            <v>1263.75</v>
          </cell>
        </row>
        <row r="275">
          <cell r="C275" t="str">
            <v>S09PANT008</v>
          </cell>
          <cell r="D275" t="str">
            <v>สีภายนอก A8403 Four seasons</v>
          </cell>
          <cell r="E275">
            <v>947.82</v>
          </cell>
          <cell r="F275">
            <v>1453.32</v>
          </cell>
        </row>
        <row r="276">
          <cell r="C276" t="str">
            <v>S09PANT009</v>
          </cell>
          <cell r="D276" t="str">
            <v>สีภายใน A5005 Four seasons</v>
          </cell>
          <cell r="E276">
            <v>1263.75</v>
          </cell>
          <cell r="F276">
            <v>947.82</v>
          </cell>
        </row>
        <row r="277">
          <cell r="C277" t="str">
            <v>S09PANT010</v>
          </cell>
          <cell r="D277" t="str">
            <v>สีภายนอก A5005 four seasons (5GL./ถัง)</v>
          </cell>
          <cell r="E277">
            <v>1263.75</v>
          </cell>
          <cell r="F277">
            <v>1263.75</v>
          </cell>
        </row>
        <row r="278">
          <cell r="C278" t="str">
            <v>S09PANT011</v>
          </cell>
        </row>
        <row r="279">
          <cell r="C279" t="str">
            <v>S09PANT012</v>
          </cell>
          <cell r="D279" t="str">
            <v>สีภายนอก A2004 four seasons (5GL./ถัง)</v>
          </cell>
          <cell r="E279">
            <v>1263.75</v>
          </cell>
          <cell r="F279">
            <v>1263.75</v>
          </cell>
        </row>
        <row r="280">
          <cell r="C280" t="str">
            <v>S09PANT013</v>
          </cell>
          <cell r="D280" t="str">
            <v>สีรองพื้นไม้ TOA (5GL./ถัง)</v>
          </cell>
          <cell r="E280">
            <v>1085.68</v>
          </cell>
          <cell r="F280">
            <v>221.16</v>
          </cell>
        </row>
        <row r="281">
          <cell r="C281" t="str">
            <v>S09PANT014</v>
          </cell>
        </row>
        <row r="282">
          <cell r="C282" t="str">
            <v>S09PANT015</v>
          </cell>
          <cell r="D282" t="str">
            <v>สีน้ำมัน F5001 four seasons (1GL./ถัง)</v>
          </cell>
          <cell r="E282">
            <v>1881.25</v>
          </cell>
          <cell r="F282">
            <v>376.25</v>
          </cell>
        </row>
        <row r="283">
          <cell r="C283" t="str">
            <v>S09PANT021</v>
          </cell>
          <cell r="D283" t="str">
            <v>สีรองพื้นไม้ " Bayer " B 2000</v>
          </cell>
          <cell r="F283">
            <v>735</v>
          </cell>
        </row>
        <row r="284">
          <cell r="C284" t="str">
            <v>S09PANT022</v>
          </cell>
          <cell r="D284" t="str">
            <v>ยูรีเทน " Bayer " B52</v>
          </cell>
          <cell r="F284">
            <v>840</v>
          </cell>
        </row>
        <row r="285">
          <cell r="C285" t="str">
            <v>S09PANT023</v>
          </cell>
          <cell r="D285" t="str">
            <v>ทินเนอร์ " Bayer " M 44</v>
          </cell>
          <cell r="F285">
            <v>357</v>
          </cell>
        </row>
        <row r="286">
          <cell r="C286" t="str">
            <v>S09PANT033</v>
          </cell>
          <cell r="D286" t="str">
            <v>สีภายนอก A8402 four seasons (5GL./ถัง)</v>
          </cell>
          <cell r="E286">
            <v>1498.32</v>
          </cell>
          <cell r="F286">
            <v>1453.32</v>
          </cell>
        </row>
        <row r="287">
          <cell r="C287" t="str">
            <v>S09PANT034</v>
          </cell>
          <cell r="D287" t="str">
            <v>สีภายนอก A8521 four seasons (5GL./ถัง)</v>
          </cell>
          <cell r="E287">
            <v>1498.32</v>
          </cell>
          <cell r="F287">
            <v>1453.32</v>
          </cell>
        </row>
        <row r="288">
          <cell r="C288" t="str">
            <v>S09PANT035</v>
          </cell>
          <cell r="D288" t="str">
            <v>สีภายนอก A2002 four seasons (5GL./ถัง)</v>
          </cell>
          <cell r="E288">
            <v>1263.75</v>
          </cell>
          <cell r="F288">
            <v>1263.75</v>
          </cell>
        </row>
        <row r="289">
          <cell r="C289" t="str">
            <v>S09PANT036</v>
          </cell>
          <cell r="D289" t="str">
            <v>สีภายนอก A8544 four seasons (5GL./ถัง)</v>
          </cell>
          <cell r="E289">
            <v>1498.27</v>
          </cell>
          <cell r="F289">
            <v>1453.32</v>
          </cell>
        </row>
        <row r="290">
          <cell r="C290" t="str">
            <v>S09PANT037</v>
          </cell>
          <cell r="D290" t="str">
            <v>สีภายนอก A8457 four seasons (5GL./ถัง)</v>
          </cell>
          <cell r="E290">
            <v>1498.27</v>
          </cell>
          <cell r="F290">
            <v>1453.32</v>
          </cell>
        </row>
        <row r="291">
          <cell r="C291" t="str">
            <v>S09PANT038</v>
          </cell>
          <cell r="D291" t="str">
            <v>สีภายนอก A8522 four seasons (5GL./ถัง)</v>
          </cell>
          <cell r="E291">
            <v>1498.27</v>
          </cell>
          <cell r="F291">
            <v>1453.32</v>
          </cell>
        </row>
        <row r="292">
          <cell r="C292" t="str">
            <v>S09PANT039</v>
          </cell>
          <cell r="D292" t="str">
            <v>สีภายนอก A8524 four seasons (5GL./ถัง)</v>
          </cell>
          <cell r="E292">
            <v>1498.27</v>
          </cell>
          <cell r="F292">
            <v>1453.32</v>
          </cell>
        </row>
        <row r="293">
          <cell r="C293" t="str">
            <v>S09PANT040</v>
          </cell>
          <cell r="D293" t="str">
            <v>สีภายนอก A8457 four seasons (5GL./ถัง)</v>
          </cell>
          <cell r="E293">
            <v>1498.27</v>
          </cell>
          <cell r="F293">
            <v>1263.75</v>
          </cell>
        </row>
        <row r="294">
          <cell r="C294" t="str">
            <v>S09PANT041</v>
          </cell>
          <cell r="D294" t="str">
            <v>สีภายนอก A8356 four seasons (5GL./ถัง)</v>
          </cell>
          <cell r="E294">
            <v>1498.27</v>
          </cell>
          <cell r="F294">
            <v>1453.32</v>
          </cell>
        </row>
        <row r="295">
          <cell r="C295" t="str">
            <v>S09PANT042</v>
          </cell>
          <cell r="D295" t="str">
            <v>สีภายนอก A1005 four seasons (5GL./ถัง)</v>
          </cell>
          <cell r="E295">
            <v>1498.27</v>
          </cell>
          <cell r="F295">
            <v>1263.75</v>
          </cell>
        </row>
        <row r="296">
          <cell r="C296" t="str">
            <v>S09PANT044</v>
          </cell>
          <cell r="D296" t="str">
            <v>สีภายนอก A8460 four seasons (5GL./ถัง)</v>
          </cell>
          <cell r="E296">
            <v>1498.27</v>
          </cell>
          <cell r="F296">
            <v>1453.32</v>
          </cell>
        </row>
        <row r="297">
          <cell r="C297" t="str">
            <v>S09PANT045</v>
          </cell>
          <cell r="D297" t="str">
            <v>สีภายนอก A8459 four seasons (5GL./ถัง)</v>
          </cell>
          <cell r="E297">
            <v>1498.27</v>
          </cell>
          <cell r="F297">
            <v>1453.32</v>
          </cell>
        </row>
        <row r="298">
          <cell r="C298" t="str">
            <v>S09WALL001</v>
          </cell>
          <cell r="D298" t="str">
            <v>ชุดวอลล์เปเปอร์ TYPE C</v>
          </cell>
          <cell r="E298">
            <v>850</v>
          </cell>
          <cell r="F298">
            <v>29000</v>
          </cell>
        </row>
        <row r="299">
          <cell r="C299" t="str">
            <v>S09WALL003</v>
          </cell>
          <cell r="D299" t="str">
            <v>ชุดวอลล์เปเปอร์ TYPE H</v>
          </cell>
          <cell r="E299">
            <v>850</v>
          </cell>
          <cell r="F299">
            <v>39500</v>
          </cell>
        </row>
        <row r="300">
          <cell r="C300" t="str">
            <v>S09WALL005</v>
          </cell>
          <cell r="D300" t="str">
            <v>ชุดวอลล์เปเปอร์ TYPE K</v>
          </cell>
          <cell r="E300">
            <v>850</v>
          </cell>
          <cell r="F300">
            <v>49500</v>
          </cell>
        </row>
        <row r="301">
          <cell r="C301" t="str">
            <v>S10BOLT</v>
          </cell>
          <cell r="D301" t="str">
            <v>Boot ประคอง 1.25"</v>
          </cell>
          <cell r="F301">
            <v>0</v>
          </cell>
        </row>
        <row r="302">
          <cell r="C302" t="str">
            <v>S10BOLT</v>
          </cell>
          <cell r="D302" t="str">
            <v>Boot ประคอง 1.25"</v>
          </cell>
          <cell r="F302">
            <v>0</v>
          </cell>
        </row>
        <row r="303">
          <cell r="C303" t="str">
            <v>S10BOLT001</v>
          </cell>
          <cell r="D303" t="str">
            <v>สกรูยึดแปเหล็กระแนงชุบสังกะสี ( 500 ตัว/ถุง )</v>
          </cell>
          <cell r="E303">
            <v>250</v>
          </cell>
          <cell r="F303">
            <v>225</v>
          </cell>
        </row>
        <row r="304">
          <cell r="C304" t="str">
            <v>S10BOLT002</v>
          </cell>
          <cell r="D304" t="str">
            <v>ตะปูเกลียวยึดกระเบื้อง 2.25"</v>
          </cell>
          <cell r="E304">
            <v>250</v>
          </cell>
          <cell r="F304">
            <v>20</v>
          </cell>
        </row>
        <row r="305">
          <cell r="C305" t="str">
            <v>S10BOLT003</v>
          </cell>
          <cell r="D305" t="str">
            <v>พุกน๊อต (16012) 1/2" x 95 mm.</v>
          </cell>
          <cell r="E305">
            <v>7.5</v>
          </cell>
          <cell r="F305">
            <v>7.5</v>
          </cell>
        </row>
        <row r="306">
          <cell r="C306" t="str">
            <v>S10BOLT004</v>
          </cell>
          <cell r="D306" t="str">
            <v>สกรูน็อต 4 หุนx5" เกลียวตลอดพร้อมแหวนรองตัวเมีย</v>
          </cell>
          <cell r="E306">
            <v>6.4</v>
          </cell>
          <cell r="F306">
            <v>6.4</v>
          </cell>
        </row>
        <row r="307">
          <cell r="C307" t="str">
            <v>S10BOLT012</v>
          </cell>
          <cell r="D307" t="str">
            <v>ลวดผูกเหล็ก (6 kg/ขด)</v>
          </cell>
          <cell r="E307">
            <v>138</v>
          </cell>
          <cell r="F307">
            <v>138</v>
          </cell>
        </row>
        <row r="308">
          <cell r="C308" t="str">
            <v>S10BOLT015</v>
          </cell>
          <cell r="D308" t="str">
            <v>ตะปูเกลียวยึดกระเบื้อง 2.25"</v>
          </cell>
          <cell r="E308">
            <v>215</v>
          </cell>
          <cell r="F308">
            <v>215</v>
          </cell>
        </row>
        <row r="309">
          <cell r="C309" t="str">
            <v>S10BOLT020</v>
          </cell>
          <cell r="D309" t="str">
            <v>สกรูน็อต 4หุนx3.5" เกลียวตลอดพร้อมแหวนรองตัวเมีย</v>
          </cell>
          <cell r="E309">
            <v>7</v>
          </cell>
          <cell r="F309">
            <v>7</v>
          </cell>
        </row>
        <row r="310">
          <cell r="C310" t="str">
            <v>S10BOLT022</v>
          </cell>
          <cell r="D310" t="str">
            <v>J-bolt 12 mm ยาว35 cm เกลียว; 5 cm</v>
          </cell>
          <cell r="E310">
            <v>45</v>
          </cell>
          <cell r="F310">
            <v>42.5</v>
          </cell>
        </row>
        <row r="311">
          <cell r="C311" t="str">
            <v>S10BOLT023</v>
          </cell>
          <cell r="D311" t="str">
            <v>ลวดเชื่อม ขนาด 2.6 mm. (2 kg./ห่อ)</v>
          </cell>
          <cell r="E311">
            <v>75</v>
          </cell>
          <cell r="F311">
            <v>70</v>
          </cell>
        </row>
        <row r="312">
          <cell r="C312" t="str">
            <v>S10BOLT024</v>
          </cell>
          <cell r="D312" t="str">
            <v>ตะปู 1" (18 กก./ลัง)</v>
          </cell>
          <cell r="E312">
            <v>615</v>
          </cell>
          <cell r="F312">
            <v>620</v>
          </cell>
        </row>
        <row r="313">
          <cell r="C313" t="str">
            <v>S10BOLT025</v>
          </cell>
          <cell r="D313" t="str">
            <v>ตะปู 3" (18 กก./ลัง)</v>
          </cell>
          <cell r="E313">
            <v>530</v>
          </cell>
          <cell r="F313">
            <v>500</v>
          </cell>
        </row>
        <row r="314">
          <cell r="C314" t="str">
            <v>S10BOLT029</v>
          </cell>
          <cell r="D314" t="str">
            <v>พุกน๊อต 5 หุน x 95 มม.</v>
          </cell>
          <cell r="E314">
            <v>7.5</v>
          </cell>
          <cell r="F314">
            <v>7.5</v>
          </cell>
        </row>
        <row r="315">
          <cell r="C315" t="str">
            <v>S10BOLT031</v>
          </cell>
          <cell r="D315" t="str">
            <v>ขอยึดเชิงชาย</v>
          </cell>
          <cell r="E315">
            <v>250</v>
          </cell>
          <cell r="F315">
            <v>250</v>
          </cell>
        </row>
        <row r="316">
          <cell r="C316" t="str">
            <v>S10BOLT033</v>
          </cell>
          <cell r="D316" t="str">
            <v>BOA COIL 4 หุน</v>
          </cell>
          <cell r="E316" t="str">
            <v>ไม่ใช้แล้ว</v>
          </cell>
          <cell r="F316">
            <v>8.0299999999999994</v>
          </cell>
        </row>
        <row r="317">
          <cell r="C317" t="str">
            <v>S10BOLT034</v>
          </cell>
          <cell r="D317" t="str">
            <v>BOA ANCHOR 4 หุน</v>
          </cell>
          <cell r="E317" t="str">
            <v>ไม่ใช้แล้ว</v>
          </cell>
          <cell r="F317">
            <v>62.06</v>
          </cell>
        </row>
        <row r="318">
          <cell r="C318" t="str">
            <v>S10BOLT045</v>
          </cell>
          <cell r="D318" t="str">
            <v>Dynaset Drop In Anchor 1/2" (ไม่สามารถ Recycle ได้)</v>
          </cell>
          <cell r="E318">
            <v>4.25</v>
          </cell>
          <cell r="F318">
            <v>4.25</v>
          </cell>
        </row>
        <row r="319">
          <cell r="C319" t="str">
            <v>S10BOLT046</v>
          </cell>
          <cell r="D319" t="str">
            <v>Bolt 1/2"x3/2" Zinc (Recycle ได้)</v>
          </cell>
          <cell r="E319">
            <v>1.75</v>
          </cell>
          <cell r="F319">
            <v>0</v>
          </cell>
        </row>
        <row r="320">
          <cell r="C320" t="str">
            <v>S10BOLT047</v>
          </cell>
          <cell r="D320" t="str">
            <v>Washer 1/2 Zinc (Recycle ได้)</v>
          </cell>
          <cell r="E320">
            <v>0.75</v>
          </cell>
          <cell r="F320">
            <v>0</v>
          </cell>
        </row>
        <row r="321">
          <cell r="C321" t="str">
            <v>S10BUAC015</v>
          </cell>
          <cell r="D321" t="str">
            <v>บัวหัวเสา ขนาด 0.40 x0.40 ม. สูง 0.27 ม. หัวมน</v>
          </cell>
          <cell r="E321">
            <v>240</v>
          </cell>
          <cell r="F321">
            <v>240</v>
          </cell>
        </row>
        <row r="322">
          <cell r="C322" t="str">
            <v>S10BUAC016</v>
          </cell>
          <cell r="D322" t="str">
            <v>บัวหัวเสา ขนาด 0.50 x0.50 ม. สูง 0.29 ม. หัวมน</v>
          </cell>
          <cell r="E322">
            <v>290</v>
          </cell>
          <cell r="F322">
            <v>290</v>
          </cell>
        </row>
        <row r="323">
          <cell r="C323" t="str">
            <v>S10ENFH002</v>
          </cell>
          <cell r="D323" t="str">
            <v>ปีกนกเหล็กรูปพรรณ 1.6 x 3.00 m.( 29 cm )</v>
          </cell>
          <cell r="E323">
            <v>400</v>
          </cell>
          <cell r="F323">
            <v>551.04999999999995</v>
          </cell>
        </row>
        <row r="324">
          <cell r="C324" t="str">
            <v>S10ENFH003</v>
          </cell>
          <cell r="D324" t="str">
            <v>ปีกนกเหล็กรูปพรรณ 1.6 mm.x 2.44 m.( 29 cm )</v>
          </cell>
          <cell r="E324">
            <v>330</v>
          </cell>
          <cell r="F324">
            <v>449.4</v>
          </cell>
        </row>
        <row r="325">
          <cell r="C325" t="str">
            <v>S10ENFH004</v>
          </cell>
          <cell r="D325" t="str">
            <v>ปีกนกเหล็กรูปพรรณ 1.6 x 2.50 m.( 20 cm )</v>
          </cell>
          <cell r="E325">
            <v>270</v>
          </cell>
          <cell r="F325">
            <v>288.90000000000003</v>
          </cell>
        </row>
        <row r="326">
          <cell r="C326" t="str">
            <v>S10ENFH008</v>
          </cell>
          <cell r="D326" t="str">
            <v>ปีกนกเหล็กรูปพรรณ 1.6 mm.x 2.44 m.( 20 cm )</v>
          </cell>
          <cell r="E326">
            <v>250</v>
          </cell>
          <cell r="F326">
            <v>347.75</v>
          </cell>
        </row>
        <row r="327">
          <cell r="C327" t="str">
            <v>S10ENFH009</v>
          </cell>
          <cell r="D327" t="str">
            <v>ปีกนกเหล็กรูปพรรณ 1.6 x 1.85 m.( 29 cm )</v>
          </cell>
          <cell r="E327">
            <v>270</v>
          </cell>
          <cell r="F327">
            <v>358.45</v>
          </cell>
        </row>
        <row r="328">
          <cell r="C328" t="str">
            <v>S10GBAT001</v>
          </cell>
          <cell r="D328" t="str">
            <v>แปเหล็กระแนงชุบสังกะสีหนา 0.50 mm. X 6.00 m</v>
          </cell>
          <cell r="E328">
            <v>81</v>
          </cell>
          <cell r="F328">
            <v>89</v>
          </cell>
        </row>
        <row r="329">
          <cell r="C329" t="str">
            <v>S10HING001</v>
          </cell>
          <cell r="D329" t="str">
            <v>กลอน 4"</v>
          </cell>
          <cell r="E329">
            <v>4.75</v>
          </cell>
          <cell r="F329">
            <v>6.5</v>
          </cell>
        </row>
        <row r="330">
          <cell r="C330" t="str">
            <v>S10HING002</v>
          </cell>
          <cell r="D330" t="str">
            <v>กลอน 6"</v>
          </cell>
          <cell r="E330">
            <v>6</v>
          </cell>
          <cell r="F330">
            <v>7.5</v>
          </cell>
        </row>
        <row r="331">
          <cell r="C331" t="str">
            <v>S10HING003</v>
          </cell>
          <cell r="D331" t="str">
            <v>บานพับ 4" x 3 รองยาง</v>
          </cell>
          <cell r="E331">
            <v>16</v>
          </cell>
          <cell r="F331">
            <v>26</v>
          </cell>
        </row>
        <row r="332">
          <cell r="C332" t="str">
            <v>S10HING004</v>
          </cell>
          <cell r="D332" t="str">
            <v>บานพับ No.707 12" วิสโก้</v>
          </cell>
          <cell r="E332">
            <v>12</v>
          </cell>
          <cell r="F332">
            <v>15</v>
          </cell>
        </row>
        <row r="333">
          <cell r="C333" t="str">
            <v>S10HING005</v>
          </cell>
          <cell r="D333" t="str">
            <v>มือจับ 4"</v>
          </cell>
          <cell r="E333">
            <v>8</v>
          </cell>
          <cell r="F333">
            <v>10</v>
          </cell>
        </row>
        <row r="334">
          <cell r="C334" t="str">
            <v>S10HING006</v>
          </cell>
          <cell r="D334" t="str">
            <v xml:space="preserve">มือจับ 6" </v>
          </cell>
          <cell r="E334">
            <v>9</v>
          </cell>
          <cell r="F334">
            <v>11</v>
          </cell>
        </row>
        <row r="335">
          <cell r="C335" t="str">
            <v>S10HING007</v>
          </cell>
          <cell r="D335" t="str">
            <v>ขอเกี่ยวบานหน้าต่าง 6" สีรมดำรุ่น 170 A/C</v>
          </cell>
          <cell r="E335">
            <v>12</v>
          </cell>
          <cell r="F335">
            <v>16</v>
          </cell>
        </row>
        <row r="336">
          <cell r="C336" t="str">
            <v>S10HING015</v>
          </cell>
          <cell r="D336" t="str">
            <v>บานพับ COLT 3'' x 4'' #25 SS.</v>
          </cell>
          <cell r="E336">
            <v>16</v>
          </cell>
          <cell r="F336">
            <v>40</v>
          </cell>
        </row>
        <row r="337">
          <cell r="C337" t="str">
            <v>S10HING017</v>
          </cell>
          <cell r="D337" t="str">
            <v>กันชน SS. COLT #16</v>
          </cell>
          <cell r="E337">
            <v>44</v>
          </cell>
          <cell r="F337">
            <v>47</v>
          </cell>
        </row>
        <row r="338">
          <cell r="C338" t="str">
            <v>S10HING018</v>
          </cell>
          <cell r="D338" t="str">
            <v>กลอน SS. COLT #400 6''</v>
          </cell>
          <cell r="E338">
            <v>29</v>
          </cell>
          <cell r="F338">
            <v>31</v>
          </cell>
        </row>
        <row r="339">
          <cell r="C339" t="str">
            <v>S10HING019</v>
          </cell>
          <cell r="D339" t="str">
            <v>กลอน SS. COLT #400 4''</v>
          </cell>
          <cell r="E339">
            <v>25</v>
          </cell>
          <cell r="F339">
            <v>27</v>
          </cell>
        </row>
        <row r="340">
          <cell r="C340" t="str">
            <v>S10HING022</v>
          </cell>
          <cell r="D340" t="str">
            <v>มือจับ 6" cott#111</v>
          </cell>
          <cell r="E340">
            <v>27</v>
          </cell>
          <cell r="F340">
            <v>29</v>
          </cell>
        </row>
        <row r="341">
          <cell r="C341" t="str">
            <v>S10HING026</v>
          </cell>
          <cell r="D341" t="str">
            <v>กันชนสี่เหลี่ยมเล็ก No.490 สีขาว</v>
          </cell>
          <cell r="E341">
            <v>4.5</v>
          </cell>
          <cell r="F341">
            <v>4.5</v>
          </cell>
        </row>
        <row r="342">
          <cell r="C342" t="str">
            <v>S10HING037</v>
          </cell>
          <cell r="D342" t="str">
            <v>มือจับ 125 มม. Kimberley</v>
          </cell>
          <cell r="F342">
            <v>20</v>
          </cell>
        </row>
        <row r="343">
          <cell r="C343" t="str">
            <v>S10LETT001</v>
          </cell>
          <cell r="D343" t="str">
            <v>ตู้จดหมาย รวมค่าติดตั้ง (SPEC ตามเอกสารแนบ)</v>
          </cell>
          <cell r="F343">
            <v>1400</v>
          </cell>
        </row>
        <row r="344">
          <cell r="C344" t="str">
            <v>S10LOCK001</v>
          </cell>
          <cell r="D344" t="str">
            <v>ลูกบิดสแตนเลส</v>
          </cell>
          <cell r="E344">
            <v>95</v>
          </cell>
          <cell r="F344">
            <v>98.44</v>
          </cell>
        </row>
        <row r="345">
          <cell r="C345" t="str">
            <v>S10LOCK002</v>
          </cell>
          <cell r="D345" t="str">
            <v>ลูกบิดมะเฟือง</v>
          </cell>
          <cell r="E345">
            <v>90</v>
          </cell>
          <cell r="F345">
            <v>90</v>
          </cell>
        </row>
        <row r="346">
          <cell r="C346" t="str">
            <v>S10LOCK004</v>
          </cell>
          <cell r="D346" t="str">
            <v>ลูกบิดประตู ตราช้าง</v>
          </cell>
          <cell r="E346">
            <v>200</v>
          </cell>
          <cell r="F346">
            <v>200</v>
          </cell>
        </row>
        <row r="347">
          <cell r="C347" t="str">
            <v>S10LTEL002</v>
          </cell>
          <cell r="D347" t="str">
            <v>Lintel 2.4m. (2.4 x0.2 หนา 10 cm.)</v>
          </cell>
          <cell r="E347">
            <v>260</v>
          </cell>
          <cell r="F347">
            <v>259.2</v>
          </cell>
        </row>
        <row r="348">
          <cell r="C348" t="str">
            <v>S10LTEL003</v>
          </cell>
          <cell r="D348" t="str">
            <v>Lintel 1.2 m. (1.2 x0.2 หนา 10 cm.)</v>
          </cell>
          <cell r="E348">
            <v>130</v>
          </cell>
          <cell r="F348">
            <v>129.6</v>
          </cell>
        </row>
        <row r="349">
          <cell r="C349" t="str">
            <v>S10PINN001</v>
          </cell>
          <cell r="D349" t="str">
            <v>ลูกปูนพลาสติก DIA 10 CM</v>
          </cell>
          <cell r="E349">
            <v>1.9</v>
          </cell>
          <cell r="F349">
            <v>1.2</v>
          </cell>
        </row>
        <row r="350">
          <cell r="C350" t="str">
            <v>S10PINN002</v>
          </cell>
          <cell r="D350" t="str">
            <v>ลูกปูน MESH CHAIR 12 cm</v>
          </cell>
          <cell r="E350">
            <v>4.4000000000000004</v>
          </cell>
          <cell r="F350">
            <v>4.4000000000000004</v>
          </cell>
        </row>
        <row r="351">
          <cell r="C351" t="str">
            <v>S10PINN003</v>
          </cell>
          <cell r="D351" t="str">
            <v>ลูกปูน BAR CHAIR</v>
          </cell>
          <cell r="E351">
            <v>1.75</v>
          </cell>
          <cell r="F351">
            <v>1.8725000000000001</v>
          </cell>
        </row>
        <row r="352">
          <cell r="C352" t="str">
            <v>S10PINN004</v>
          </cell>
          <cell r="D352" t="str">
            <v>EDGE LIFT 0.07 x 0.1 m. หนา 9 mm.</v>
          </cell>
          <cell r="E352">
            <v>29</v>
          </cell>
          <cell r="F352">
            <v>20</v>
          </cell>
        </row>
        <row r="353">
          <cell r="C353" t="str">
            <v>S10PINN006</v>
          </cell>
          <cell r="D353" t="str">
            <v>EDGE LIFT 0.07*0.1 m. หนา 15 มม.</v>
          </cell>
          <cell r="E353">
            <v>38</v>
          </cell>
          <cell r="F353">
            <v>34</v>
          </cell>
        </row>
        <row r="354">
          <cell r="C354" t="str">
            <v>S10PINN010</v>
          </cell>
          <cell r="D354" t="str">
            <v>ลูกปูน MESH CHAIR 10 cm.</v>
          </cell>
          <cell r="E354">
            <v>1.9</v>
          </cell>
          <cell r="F354">
            <v>4.0999999999999996</v>
          </cell>
        </row>
        <row r="355">
          <cell r="C355" t="str">
            <v>S10PINN011</v>
          </cell>
          <cell r="D355" t="str">
            <v>EDGE LIFT 2.5 T ขนาด 0.6x0.10 ม. หนา 9 มม.</v>
          </cell>
          <cell r="E355">
            <v>29</v>
          </cell>
          <cell r="F355">
            <v>21.65</v>
          </cell>
        </row>
        <row r="356">
          <cell r="C356" t="str">
            <v>S10PINN012</v>
          </cell>
          <cell r="D356" t="str">
            <v>Panel Shim Plate ขนาด 100*150*3 มม.</v>
          </cell>
          <cell r="E356">
            <v>3.3</v>
          </cell>
          <cell r="F356">
            <v>3.3</v>
          </cell>
        </row>
        <row r="357">
          <cell r="C357" t="str">
            <v>S10PINN013</v>
          </cell>
          <cell r="D357" t="str">
            <v>Panel Shim Plate ขนาด 100*150*5 มม.</v>
          </cell>
          <cell r="E357">
            <v>6</v>
          </cell>
          <cell r="F357">
            <v>6</v>
          </cell>
        </row>
        <row r="358">
          <cell r="C358" t="str">
            <v>S10PINN015</v>
          </cell>
          <cell r="D358" t="str">
            <v>EDGE LIFT 60 x 100 mm. หนา 9 mm.</v>
          </cell>
          <cell r="E358">
            <v>29</v>
          </cell>
          <cell r="F358">
            <v>20</v>
          </cell>
        </row>
        <row r="359">
          <cell r="C359" t="str">
            <v>S10SHER004</v>
          </cell>
          <cell r="D359" t="str">
            <v>ไม้ฝาตราช้าง 15 cm. X 3.05 m. x 8 mm.</v>
          </cell>
          <cell r="E359">
            <v>42</v>
          </cell>
          <cell r="F359">
            <v>42</v>
          </cell>
        </row>
        <row r="360">
          <cell r="C360" t="str">
            <v>S10SHER007</v>
          </cell>
          <cell r="D360" t="str">
            <v>ไม้ฝาตราช้าง 15 cm. X 4.05 m. x 8 mm.</v>
          </cell>
          <cell r="E360">
            <v>56</v>
          </cell>
          <cell r="F360">
            <v>56</v>
          </cell>
        </row>
        <row r="361">
          <cell r="C361" t="str">
            <v>S10SHER008</v>
          </cell>
          <cell r="D361" t="str">
            <v>ไม้เชิงชาย คอนวูด กว้าง 6" x หนา 17 มม. x 3.05 ม.</v>
          </cell>
          <cell r="E361">
            <v>175</v>
          </cell>
          <cell r="F361">
            <v>154.36000000000001</v>
          </cell>
        </row>
        <row r="362">
          <cell r="C362" t="str">
            <v>S10SHER009</v>
          </cell>
          <cell r="D362" t="str">
            <v>ไม้เชิงชาย คอนวูด กว้าง 8" x หนา 17 มม. x 3.05 ม.</v>
          </cell>
          <cell r="E362">
            <v>230</v>
          </cell>
          <cell r="F362">
            <v>206.9</v>
          </cell>
        </row>
        <row r="363">
          <cell r="C363" t="str">
            <v>S10SHER018</v>
          </cell>
          <cell r="D363" t="str">
            <v>ไม้เชอร่า 15 cm. X 3.00 m. x 8 mm.</v>
          </cell>
          <cell r="E363">
            <v>42</v>
          </cell>
          <cell r="F363">
            <v>42.97</v>
          </cell>
        </row>
        <row r="364">
          <cell r="C364" t="str">
            <v>S10SHER019</v>
          </cell>
          <cell r="D364" t="str">
            <v>ไม้เชอร่า 15 cm. X 4.00 m. x 8 mm.</v>
          </cell>
          <cell r="E364">
            <v>56</v>
          </cell>
          <cell r="F364">
            <v>54.57</v>
          </cell>
        </row>
        <row r="365">
          <cell r="C365" t="str">
            <v>S10WDEC001</v>
          </cell>
          <cell r="D365" t="str">
            <v>ค้ำยันไม้</v>
          </cell>
          <cell r="E365">
            <v>450</v>
          </cell>
          <cell r="F365">
            <v>98.5</v>
          </cell>
        </row>
        <row r="366">
          <cell r="C366" t="str">
            <v>S10WDEC003</v>
          </cell>
          <cell r="D366" t="str">
            <v>ลายฉลุหน้าบัน ( ซ้าย - ขวา )</v>
          </cell>
          <cell r="E366">
            <v>2450</v>
          </cell>
          <cell r="F366">
            <v>1600</v>
          </cell>
        </row>
        <row r="367">
          <cell r="C367" t="str">
            <v>S10WDEC004</v>
          </cell>
          <cell r="D367" t="str">
            <v>ลายฉลุหน้าบันแบบที่ 1</v>
          </cell>
          <cell r="E367">
            <v>950</v>
          </cell>
          <cell r="F367">
            <v>750</v>
          </cell>
        </row>
        <row r="368">
          <cell r="C368" t="str">
            <v>S10WDEC005</v>
          </cell>
          <cell r="D368" t="str">
            <v>ลายฉลุหน้าบันแบบที่ 2</v>
          </cell>
          <cell r="E368">
            <v>750</v>
          </cell>
          <cell r="F368">
            <v>580</v>
          </cell>
        </row>
        <row r="369">
          <cell r="C369" t="str">
            <v>S10WDEC006</v>
          </cell>
          <cell r="D369" t="str">
            <v>ลายฉลุหน้าบันแบบที่ 3</v>
          </cell>
          <cell r="E369">
            <v>580</v>
          </cell>
          <cell r="F369">
            <v>950</v>
          </cell>
        </row>
        <row r="370">
          <cell r="C370" t="str">
            <v>S10WDEC007</v>
          </cell>
          <cell r="D370" t="str">
            <v>เสากระโดงไม้</v>
          </cell>
          <cell r="E370">
            <v>85</v>
          </cell>
          <cell r="F370">
            <v>200</v>
          </cell>
        </row>
        <row r="371">
          <cell r="C371" t="str">
            <v>S10WDEC014</v>
          </cell>
          <cell r="D371" t="str">
            <v>งานค้ำยันไม้</v>
          </cell>
          <cell r="E371">
            <v>450</v>
          </cell>
          <cell r="F371">
            <v>350</v>
          </cell>
        </row>
        <row r="372">
          <cell r="C372" t="str">
            <v>S10WDEC015</v>
          </cell>
          <cell r="D372" t="str">
            <v>ลายฉลุหน้าบันแบบที่ 1</v>
          </cell>
          <cell r="E372">
            <v>950</v>
          </cell>
          <cell r="F372">
            <v>818</v>
          </cell>
        </row>
        <row r="373">
          <cell r="C373" t="str">
            <v>S10WDEC016</v>
          </cell>
          <cell r="D373" t="str">
            <v>ลายฉลุหน้าบันแบบที่ 2</v>
          </cell>
          <cell r="E373">
            <v>750</v>
          </cell>
          <cell r="F373">
            <v>820</v>
          </cell>
        </row>
        <row r="374">
          <cell r="C374" t="str">
            <v>S10WDFR009</v>
          </cell>
          <cell r="D374" t="str">
            <v xml:space="preserve">วงกบ D1  (1.80 x 2.00)  TYPE A </v>
          </cell>
          <cell r="E374">
            <v>480</v>
          </cell>
          <cell r="F374">
            <v>520</v>
          </cell>
        </row>
        <row r="375">
          <cell r="C375" t="str">
            <v>S10WDFR010</v>
          </cell>
          <cell r="D375" t="str">
            <v>วงกบ D2 (0.90 x 2.00)  TYPE A</v>
          </cell>
          <cell r="E375">
            <v>395</v>
          </cell>
          <cell r="F375">
            <v>413.06</v>
          </cell>
        </row>
        <row r="376">
          <cell r="C376" t="str">
            <v>S10WDFR011</v>
          </cell>
          <cell r="D376" t="str">
            <v>วงกบ D3 (0.90 x 2.00)  TYPE A</v>
          </cell>
          <cell r="E376">
            <v>395</v>
          </cell>
          <cell r="F376">
            <v>412.62</v>
          </cell>
        </row>
        <row r="377">
          <cell r="C377" t="str">
            <v>S10WDFR012</v>
          </cell>
          <cell r="D377" t="str">
            <v>วงกบ D4 (0.80 x 2.00)  TYPE A</v>
          </cell>
          <cell r="E377">
            <v>395</v>
          </cell>
          <cell r="F377">
            <v>405.66</v>
          </cell>
        </row>
        <row r="378">
          <cell r="C378" t="str">
            <v>S10WDFR014</v>
          </cell>
          <cell r="D378" t="str">
            <v>วงกบ D6 (0.70 x 1.80)  TYPE A</v>
          </cell>
          <cell r="E378">
            <v>360</v>
          </cell>
          <cell r="F378">
            <v>380</v>
          </cell>
        </row>
        <row r="379">
          <cell r="C379" t="str">
            <v>S10WDFR016</v>
          </cell>
          <cell r="D379" t="str">
            <v>วงกบ D4 PVC (0.70 x 2.00)  TYPE B ราคารวมกับบาน</v>
          </cell>
          <cell r="E379">
            <v>0</v>
          </cell>
          <cell r="F379">
            <v>214</v>
          </cell>
        </row>
        <row r="380">
          <cell r="C380" t="str">
            <v>S10WDFR018</v>
          </cell>
          <cell r="D380" t="str">
            <v xml:space="preserve">วงกบ D2 (0.80 x 2.00)  TYPE B  </v>
          </cell>
          <cell r="E380">
            <v>380</v>
          </cell>
          <cell r="F380">
            <v>385</v>
          </cell>
        </row>
        <row r="381">
          <cell r="C381" t="str">
            <v>S10WDFR019</v>
          </cell>
          <cell r="D381" t="str">
            <v>วงกบ  D3 (0.90 x 2.00)  TYPE B</v>
          </cell>
          <cell r="E381">
            <v>380</v>
          </cell>
          <cell r="F381">
            <v>385</v>
          </cell>
        </row>
        <row r="382">
          <cell r="C382" t="str">
            <v>S10WDFR020</v>
          </cell>
          <cell r="D382" t="str">
            <v>วงกบ  D1 (1.60 x 2.00)  TYPE B</v>
          </cell>
          <cell r="E382">
            <v>800</v>
          </cell>
          <cell r="F382">
            <v>820</v>
          </cell>
        </row>
        <row r="383">
          <cell r="C383" t="str">
            <v>S10WDFR028</v>
          </cell>
          <cell r="D383" t="str">
            <v>SH-B วงกบ D1  ขนาด 2.90*2.00 ม.</v>
          </cell>
          <cell r="E383">
            <v>1400</v>
          </cell>
          <cell r="F383">
            <v>1400</v>
          </cell>
        </row>
        <row r="384">
          <cell r="C384" t="str">
            <v>S10WDFR029</v>
          </cell>
          <cell r="D384" t="str">
            <v>SH-B วงกบ D2  ขนาด 0.80*2.00 ม.</v>
          </cell>
          <cell r="E384">
            <v>470</v>
          </cell>
          <cell r="F384">
            <v>450</v>
          </cell>
        </row>
        <row r="385">
          <cell r="C385" t="str">
            <v>S10WDFR030</v>
          </cell>
          <cell r="D385" t="str">
            <v>SH-B วงกบ D3  ขนาด 1.00*2.55 ม.</v>
          </cell>
          <cell r="E385">
            <v>1900</v>
          </cell>
          <cell r="F385">
            <v>1750</v>
          </cell>
        </row>
        <row r="386">
          <cell r="C386" t="str">
            <v>S10WDFR031</v>
          </cell>
          <cell r="D386" t="str">
            <v>SH-B วงกบ D4  ขนาด 1.00*1.15 ม.</v>
          </cell>
          <cell r="E386">
            <v>450</v>
          </cell>
          <cell r="F386">
            <v>350</v>
          </cell>
        </row>
        <row r="387">
          <cell r="C387" t="str">
            <v>S10WDFR032</v>
          </cell>
          <cell r="D387" t="str">
            <v>SH-B วงกบ D5  ขนาด 0.80*2.00 ม.</v>
          </cell>
          <cell r="E387">
            <v>500</v>
          </cell>
          <cell r="F387">
            <v>520</v>
          </cell>
        </row>
        <row r="388">
          <cell r="C388" t="str">
            <v>S10WDFR033</v>
          </cell>
          <cell r="D388" t="str">
            <v>SH-B วงกบ D6  ขนาด 0.80*2.00 ม.</v>
          </cell>
          <cell r="E388">
            <v>500</v>
          </cell>
          <cell r="F388">
            <v>480</v>
          </cell>
        </row>
        <row r="389">
          <cell r="C389" t="str">
            <v>S10WDFR035</v>
          </cell>
          <cell r="D389" t="str">
            <v>SH-B วงกบ D8  ขนาด 0.75*2.30 ม.</v>
          </cell>
          <cell r="E389">
            <v>650</v>
          </cell>
          <cell r="F389">
            <v>550</v>
          </cell>
        </row>
        <row r="390">
          <cell r="C390" t="str">
            <v>S10WDFR045</v>
          </cell>
          <cell r="D390" t="str">
            <v>SH-B วงกบ D9  ขนาด 0.90*2.00 ม.</v>
          </cell>
          <cell r="E390">
            <v>530</v>
          </cell>
          <cell r="F390">
            <v>545</v>
          </cell>
        </row>
        <row r="391">
          <cell r="C391" t="str">
            <v>S10WDFR077</v>
          </cell>
          <cell r="D391" t="str">
            <v>วงกบ D5  (0.50 x 0.65)  TYPE B</v>
          </cell>
          <cell r="E391">
            <v>120</v>
          </cell>
          <cell r="F391">
            <v>235</v>
          </cell>
        </row>
        <row r="392">
          <cell r="C392" t="str">
            <v>S10WDFR088</v>
          </cell>
          <cell r="D392" t="str">
            <v xml:space="preserve">วงกบ D1 (2.3 x 2.10)  TYPE C </v>
          </cell>
          <cell r="E392">
            <v>1450</v>
          </cell>
          <cell r="F392">
            <v>1150</v>
          </cell>
        </row>
        <row r="393">
          <cell r="C393" t="str">
            <v>S10WDFR089</v>
          </cell>
          <cell r="D393" t="str">
            <v>วงกบ D2 (0.80 x 2.00)  TYPE C</v>
          </cell>
          <cell r="E393">
            <v>400</v>
          </cell>
          <cell r="F393">
            <v>406.23</v>
          </cell>
        </row>
        <row r="394">
          <cell r="C394" t="str">
            <v>S10WDFR091</v>
          </cell>
          <cell r="D394" t="str">
            <v>วงกบ  D4 (0.8 x 2.00)  TYPE C</v>
          </cell>
          <cell r="E394">
            <v>470</v>
          </cell>
          <cell r="F394">
            <v>408.44</v>
          </cell>
        </row>
        <row r="395">
          <cell r="C395" t="str">
            <v>S10WDFR092</v>
          </cell>
          <cell r="D395" t="str">
            <v>วงกบ D5 (0.60 x 1.15)  TYPE C</v>
          </cell>
          <cell r="E395">
            <v>360</v>
          </cell>
          <cell r="F395">
            <v>307.7</v>
          </cell>
        </row>
        <row r="396">
          <cell r="C396" t="str">
            <v>S10WDFR094</v>
          </cell>
          <cell r="D396" t="str">
            <v xml:space="preserve">วงกบ D12K (0.80 x 2.00)  TYPE A </v>
          </cell>
          <cell r="E396">
            <v>395</v>
          </cell>
          <cell r="F396">
            <v>407.37</v>
          </cell>
        </row>
        <row r="397">
          <cell r="C397" t="str">
            <v>S10WDFR095</v>
          </cell>
          <cell r="D397" t="str">
            <v>วงกบ D12K  (0.80 x 2.00)  TYPE B</v>
          </cell>
          <cell r="E397">
            <v>370</v>
          </cell>
          <cell r="F397">
            <v>370</v>
          </cell>
        </row>
        <row r="398">
          <cell r="C398" t="str">
            <v>S10WDFR096</v>
          </cell>
          <cell r="D398" t="str">
            <v>วงกบ D12K (0.80 x 2.00)  TYPE C</v>
          </cell>
          <cell r="E398">
            <v>400</v>
          </cell>
          <cell r="F398">
            <v>400</v>
          </cell>
        </row>
        <row r="399">
          <cell r="C399" t="str">
            <v>S10WDFR101</v>
          </cell>
          <cell r="D399" t="str">
            <v>วงกบ D3K (0.70 x 2.00) PVC (ราคาอยู่ที่งานบานประตู)</v>
          </cell>
          <cell r="E399">
            <v>504.65</v>
          </cell>
          <cell r="F399">
            <v>540</v>
          </cell>
        </row>
        <row r="400">
          <cell r="C400" t="str">
            <v>S10WDFR102</v>
          </cell>
          <cell r="D400" t="str">
            <v>D4 (ขนาด 0.80 x 2.00 ม.) ไม้เต็ง 2" x 4"</v>
          </cell>
          <cell r="E400">
            <v>500</v>
          </cell>
          <cell r="F400">
            <v>495</v>
          </cell>
        </row>
        <row r="401">
          <cell r="C401" t="str">
            <v>S10WDFR103</v>
          </cell>
          <cell r="D401" t="str">
            <v>D6 (ขนาด 0.80 x 2.00 ม.) ไม้เต็ง 2" x 4"</v>
          </cell>
          <cell r="E401">
            <v>500</v>
          </cell>
          <cell r="F401">
            <v>495</v>
          </cell>
        </row>
        <row r="402">
          <cell r="C402" t="str">
            <v>S10WDFR105</v>
          </cell>
          <cell r="D402" t="str">
            <v>D8 (ขนาด 0.80 x 2.00 ม. บานเปิดคู่) ไม้เต็ง 2" x 4"</v>
          </cell>
          <cell r="E402">
            <v>500</v>
          </cell>
          <cell r="F402">
            <v>495</v>
          </cell>
        </row>
        <row r="403">
          <cell r="C403" t="str">
            <v>S10WDFR106</v>
          </cell>
          <cell r="D403" t="str">
            <v>D9 (ขนาด 1.40 x 1.45 ม. บานเปิดคู่) ไม้เต็ง 2" x 4"</v>
          </cell>
          <cell r="E403">
            <v>750</v>
          </cell>
          <cell r="F403">
            <v>600</v>
          </cell>
        </row>
        <row r="404">
          <cell r="C404" t="str">
            <v>S10WDFR113</v>
          </cell>
          <cell r="D404" t="str">
            <v>D3 (ขนาด 0.80 x 2.00 ม.) ไม้เต็ง 2" x 4"</v>
          </cell>
          <cell r="E404">
            <v>495</v>
          </cell>
          <cell r="F404">
            <v>495</v>
          </cell>
        </row>
        <row r="405">
          <cell r="C405" t="str">
            <v>S10WDFR114</v>
          </cell>
          <cell r="D405" t="str">
            <v>D4 (ขนาด 0.80 x 2.00 ม.) ไม้เต็ง 2" x 4"</v>
          </cell>
          <cell r="E405">
            <v>495</v>
          </cell>
          <cell r="F405">
            <v>495</v>
          </cell>
        </row>
        <row r="406">
          <cell r="C406" t="str">
            <v>S10WDFR115</v>
          </cell>
          <cell r="D406" t="str">
            <v>D4A (ขนาด 0.80 x 2.00 ม.) ไม้เต็ง 2" x 4"</v>
          </cell>
          <cell r="E406">
            <v>495</v>
          </cell>
          <cell r="F406">
            <v>495</v>
          </cell>
        </row>
        <row r="407">
          <cell r="C407" t="str">
            <v>S10WDFR117</v>
          </cell>
          <cell r="D407" t="str">
            <v>D6 (ขนาด 0.80 x 2.00 ม.) ไม้เต็ง 2" x 4''</v>
          </cell>
          <cell r="E407">
            <v>495</v>
          </cell>
          <cell r="F407">
            <v>495</v>
          </cell>
        </row>
        <row r="408">
          <cell r="C408" t="str">
            <v>S10WDFR118</v>
          </cell>
          <cell r="D408" t="str">
            <v>D7 (ขนาด 0.70 x 2.00 ม.) ไม้เต็ง 2" x 4"</v>
          </cell>
          <cell r="E408">
            <v>485</v>
          </cell>
          <cell r="F408">
            <v>485</v>
          </cell>
        </row>
        <row r="409">
          <cell r="C409" t="str">
            <v>S10WDFR119</v>
          </cell>
          <cell r="D409" t="str">
            <v>D5 (ขนาด 1.30 x 2.00 ม. บานเปิดคู่) ไม้เต็ง 2" x 4"</v>
          </cell>
          <cell r="E409">
            <v>580</v>
          </cell>
          <cell r="F409">
            <v>550</v>
          </cell>
        </row>
        <row r="410">
          <cell r="C410" t="str">
            <v>S10WDFR120</v>
          </cell>
          <cell r="D410" t="str">
            <v>D6 (ขนาด 0.80 x 2.00 ม.) ไม้เต็ง 2" x 4"</v>
          </cell>
          <cell r="E410">
            <v>495</v>
          </cell>
          <cell r="F410">
            <v>495</v>
          </cell>
        </row>
        <row r="411">
          <cell r="C411" t="str">
            <v>S10WDFR121</v>
          </cell>
          <cell r="D411" t="str">
            <v>D7 (ขนาด 0.80 x 2.60 ม. มีช่องแสงติดตายบน) ไม้เต็ง 2" x 4"</v>
          </cell>
          <cell r="E411">
            <v>750</v>
          </cell>
          <cell r="F411">
            <v>650</v>
          </cell>
        </row>
        <row r="412">
          <cell r="C412" t="str">
            <v>S10WDFR123</v>
          </cell>
          <cell r="D412" t="str">
            <v>D10 (ขนาด 0.70 x 2.00 ม.) ไม้เต็ง 2" x 4"</v>
          </cell>
          <cell r="E412">
            <v>485</v>
          </cell>
          <cell r="F412">
            <v>485</v>
          </cell>
        </row>
        <row r="413">
          <cell r="C413" t="str">
            <v>S10WDFR124</v>
          </cell>
          <cell r="D413" t="str">
            <v>D11 (ขนาด 1.00 x 2.00 ม.) ไม้เต็ง 2" x 4"</v>
          </cell>
          <cell r="E413">
            <v>530</v>
          </cell>
          <cell r="F413">
            <v>520</v>
          </cell>
        </row>
        <row r="414">
          <cell r="C414" t="str">
            <v>S10WDFR125</v>
          </cell>
          <cell r="D414" t="str">
            <v>D12 (ขนาด 0.80 x 2.60 ม. มีช่องแสงติดตายบน) ไม้เต็ง 2" x 4"</v>
          </cell>
          <cell r="E414">
            <v>1300</v>
          </cell>
          <cell r="F414">
            <v>650</v>
          </cell>
        </row>
        <row r="415">
          <cell r="C415" t="str">
            <v>S10WDFR126</v>
          </cell>
          <cell r="D415" t="str">
            <v>D4 (ขนาด 1.40 x 2.00 ม. บานเปิดคู่) ไม้เต็ง 2" x 4"</v>
          </cell>
          <cell r="E415">
            <v>1400</v>
          </cell>
          <cell r="F415">
            <v>600</v>
          </cell>
        </row>
        <row r="416">
          <cell r="C416" t="str">
            <v>S10WDFR127</v>
          </cell>
          <cell r="D416" t="str">
            <v>D5 (ขนาด 0.80 x 2.00 ม.)  ไม้เต็ง 2" x 4"</v>
          </cell>
          <cell r="E416">
            <v>495</v>
          </cell>
          <cell r="F416">
            <v>500</v>
          </cell>
        </row>
        <row r="417">
          <cell r="C417" t="str">
            <v>S10WDFR128</v>
          </cell>
          <cell r="D417" t="str">
            <v>D6 (ขนาด 0.80 x 2.00 ม.) ไม้เต็ง 2" x 4"</v>
          </cell>
          <cell r="E417">
            <v>495</v>
          </cell>
          <cell r="F417">
            <v>500</v>
          </cell>
        </row>
        <row r="418">
          <cell r="C418" t="str">
            <v>S10WDFR129</v>
          </cell>
          <cell r="D418" t="str">
            <v>D7 (ขนาด 0.80 x 2.00 ม.) ไม้เต็งง 2" x 4"</v>
          </cell>
          <cell r="E418">
            <v>495</v>
          </cell>
          <cell r="F418">
            <v>500</v>
          </cell>
        </row>
        <row r="419">
          <cell r="C419" t="str">
            <v>S10WDFR131</v>
          </cell>
          <cell r="D419" t="str">
            <v>D10 (ขนาด 0.70 x 2.00 ม.) ไม้เต็ง 2" x 4"</v>
          </cell>
          <cell r="E419">
            <v>485</v>
          </cell>
          <cell r="F419">
            <v>480</v>
          </cell>
        </row>
        <row r="420">
          <cell r="C420" t="str">
            <v>S10WDFR132</v>
          </cell>
          <cell r="D420" t="str">
            <v>D11 (ขนาด 1.00 x 2.00 ม.) ไม้เต็ง 2" x 4"</v>
          </cell>
          <cell r="E420">
            <v>495</v>
          </cell>
          <cell r="F420">
            <v>520</v>
          </cell>
        </row>
        <row r="421">
          <cell r="C421" t="str">
            <v>S10WDFR135</v>
          </cell>
          <cell r="D421" t="str">
            <v>D7 (ขนาด 0.80 x 2.05 ม.) ไม้เต็ง 2" x 5"</v>
          </cell>
          <cell r="E421">
            <v>750</v>
          </cell>
          <cell r="F421">
            <v>680</v>
          </cell>
        </row>
        <row r="422">
          <cell r="C422" t="str">
            <v>S10WDFR138</v>
          </cell>
          <cell r="D422" t="str">
            <v>D5 (ขนาด 0.80 x 2.05 ม.) ไม้เต็ง 2" x 5"</v>
          </cell>
          <cell r="E422">
            <v>750</v>
          </cell>
          <cell r="F422">
            <v>665</v>
          </cell>
        </row>
        <row r="423">
          <cell r="C423" t="str">
            <v>S10WDFR139</v>
          </cell>
          <cell r="D423" t="str">
            <v>D8 (ขนาด 0.80 x 2.05 ม.) ไม้เต็ง 2" x 5"</v>
          </cell>
          <cell r="E423">
            <v>750</v>
          </cell>
          <cell r="F423">
            <v>665</v>
          </cell>
        </row>
        <row r="424">
          <cell r="C424" t="str">
            <v>S10WDFR141</v>
          </cell>
          <cell r="D424" t="str">
            <v>D8 (ขนาด 0.80 x 2.05 ม.) ไม้เต็ง 2" x 5"</v>
          </cell>
          <cell r="E424">
            <v>750</v>
          </cell>
          <cell r="F424">
            <v>700</v>
          </cell>
        </row>
        <row r="425">
          <cell r="C425" t="str">
            <v>S10WDFR142</v>
          </cell>
          <cell r="D425" t="str">
            <v>D4 (ขนาด 0.90 x 2.40 ม.) ไม้เต็ง 2'' x 5''</v>
          </cell>
          <cell r="E425">
            <v>1700</v>
          </cell>
          <cell r="F425">
            <v>1450</v>
          </cell>
        </row>
        <row r="426">
          <cell r="C426" t="str">
            <v>S10WDFR143</v>
          </cell>
          <cell r="D426" t="str">
            <v>D9 (ขนาด 0.90 x 2.40 ม.) ไม้เต็ง 2'' x 5''</v>
          </cell>
          <cell r="E426">
            <v>1700</v>
          </cell>
          <cell r="F426">
            <v>1500</v>
          </cell>
        </row>
        <row r="427">
          <cell r="C427" t="str">
            <v>S10WDFR145</v>
          </cell>
          <cell r="D427" t="str">
            <v>SH-B วงกบD7 ขนาด0.7x2.0m.(2"x5")ไม้เต็ง</v>
          </cell>
          <cell r="E427">
            <v>700</v>
          </cell>
          <cell r="F427">
            <v>680</v>
          </cell>
        </row>
        <row r="428">
          <cell r="C428" t="str">
            <v>S10WDFR165</v>
          </cell>
          <cell r="D428" t="str">
            <v xml:space="preserve">วงกบ D1 (1.7 x 2.05)  TYPE C </v>
          </cell>
          <cell r="E428">
            <v>500</v>
          </cell>
          <cell r="F428">
            <v>520</v>
          </cell>
        </row>
        <row r="429">
          <cell r="C429" t="str">
            <v>S10WDPL005</v>
          </cell>
          <cell r="D429" t="str">
            <v>บาน D1 (0.90 x 2.00) ไม้เต็ง 10 ช่องแสง TYPE A</v>
          </cell>
          <cell r="E429">
            <v>555</v>
          </cell>
          <cell r="F429">
            <v>750</v>
          </cell>
        </row>
        <row r="430">
          <cell r="C430" t="str">
            <v>S10WDPL006</v>
          </cell>
          <cell r="D430" t="str">
            <v>บาน D2 (0.90 x 2.00) ไม้อัดภายใน  TYPE A</v>
          </cell>
          <cell r="E430">
            <v>500</v>
          </cell>
          <cell r="F430">
            <v>490</v>
          </cell>
        </row>
        <row r="431">
          <cell r="C431" t="str">
            <v>S10WDPL007</v>
          </cell>
          <cell r="D431" t="str">
            <v>บาน D3 (0.90 x 2.00) ไม้อัดภายใน  TYPE A</v>
          </cell>
          <cell r="E431">
            <v>555</v>
          </cell>
          <cell r="F431">
            <v>570</v>
          </cell>
        </row>
        <row r="432">
          <cell r="C432" t="str">
            <v>S10WDPL008</v>
          </cell>
          <cell r="D432" t="str">
            <v>บาน D4 (0.80 x 2.00) ไม้อัดภายใน  TYPE A</v>
          </cell>
          <cell r="E432">
            <v>535</v>
          </cell>
          <cell r="F432">
            <v>550</v>
          </cell>
        </row>
        <row r="433">
          <cell r="C433" t="str">
            <v>S10WDPL010</v>
          </cell>
          <cell r="D433" t="str">
            <v>บาน D6 (0.70 x 1.80) ไม้อัดภายนอก  TYPE A</v>
          </cell>
          <cell r="E433">
            <v>505</v>
          </cell>
          <cell r="F433">
            <v>595</v>
          </cell>
        </row>
        <row r="434">
          <cell r="C434" t="str">
            <v>S10WDPL011</v>
          </cell>
          <cell r="D434" t="str">
            <v>บาน D8 (0.80 x 2.00) ไม้อัดภายนอก  TYPE A</v>
          </cell>
          <cell r="E434">
            <v>535</v>
          </cell>
          <cell r="F434">
            <v>572.45000000000005</v>
          </cell>
        </row>
        <row r="435">
          <cell r="C435" t="str">
            <v>S10WDPL014</v>
          </cell>
          <cell r="D435" t="str">
            <v>บาน D2 (0.80 x 2.00) ไม้อัดภายใน  TYPE B</v>
          </cell>
          <cell r="E435">
            <v>535</v>
          </cell>
          <cell r="F435">
            <v>565</v>
          </cell>
        </row>
        <row r="436">
          <cell r="C436" t="str">
            <v>S10WDPL015</v>
          </cell>
          <cell r="D436" t="str">
            <v>บาน D3 (0.90 x 2.00) ไม้อัดภายใน  TYPE B</v>
          </cell>
          <cell r="E436">
            <v>555</v>
          </cell>
          <cell r="F436">
            <v>520</v>
          </cell>
        </row>
        <row r="437">
          <cell r="C437" t="str">
            <v>S10WDPL016</v>
          </cell>
          <cell r="D437" t="str">
            <v>บาน D1 (0.90 x 2.00)  TYPE B</v>
          </cell>
          <cell r="E437">
            <v>555</v>
          </cell>
          <cell r="F437">
            <v>800</v>
          </cell>
        </row>
        <row r="438">
          <cell r="C438" t="str">
            <v>S10WDPL034</v>
          </cell>
          <cell r="D438" t="str">
            <v>SH-B บาน D3/2 ขนาด 0.50*0.50 ม.บานโค้ง</v>
          </cell>
          <cell r="E438">
            <v>300</v>
          </cell>
          <cell r="F438">
            <v>250</v>
          </cell>
        </row>
        <row r="439">
          <cell r="C439" t="str">
            <v>S10WDPL035</v>
          </cell>
          <cell r="D439" t="str">
            <v>SH-B บาน D4 ขนาด 0.50*1.15 ม.บานไม้อัด</v>
          </cell>
          <cell r="E439">
            <v>390</v>
          </cell>
          <cell r="F439">
            <v>250</v>
          </cell>
        </row>
        <row r="440">
          <cell r="C440" t="str">
            <v>S10WDPL039</v>
          </cell>
          <cell r="D440" t="str">
            <v>SH-B บาน D8ขนาด 0.375*2.30 ม.บานเกล็ดไม้</v>
          </cell>
          <cell r="E440">
            <v>900</v>
          </cell>
          <cell r="F440">
            <v>500</v>
          </cell>
        </row>
        <row r="441">
          <cell r="C441" t="str">
            <v>S10WDPL044</v>
          </cell>
          <cell r="D441" t="str">
            <v>D4 ขนาด 0.80 x 2.00 m. บานไม้อัดลูกฟัก 2 ช่อง</v>
          </cell>
          <cell r="E441">
            <v>650</v>
          </cell>
          <cell r="F441">
            <v>1381.31</v>
          </cell>
        </row>
        <row r="442">
          <cell r="C442" t="str">
            <v>S10WDPL078</v>
          </cell>
          <cell r="D442" t="str">
            <v>บานประตูไม้เกล็ดระบาย (0.50 x 0.65 )  TYPE B</v>
          </cell>
          <cell r="E442">
            <v>520</v>
          </cell>
          <cell r="F442">
            <v>260</v>
          </cell>
        </row>
        <row r="443">
          <cell r="C443" t="str">
            <v>S10WDPL086</v>
          </cell>
          <cell r="D443" t="str">
            <v>บาน D1 (0.80 x 2.10)  TYPE C</v>
          </cell>
          <cell r="E443">
            <v>650</v>
          </cell>
          <cell r="F443">
            <v>750</v>
          </cell>
        </row>
        <row r="444">
          <cell r="C444" t="str">
            <v>S10WDPL087</v>
          </cell>
          <cell r="D444" t="str">
            <v>บาน D2 (0.80 x 2.00)  TYPE C</v>
          </cell>
          <cell r="E444">
            <v>1100</v>
          </cell>
          <cell r="F444">
            <v>1296.7</v>
          </cell>
        </row>
        <row r="445">
          <cell r="C445" t="str">
            <v>S10WDPL089</v>
          </cell>
          <cell r="D445" t="str">
            <v>บาน D4 (0.80 x 2.00) บานไม้อัดยาง  TYPE C</v>
          </cell>
          <cell r="E445">
            <v>655</v>
          </cell>
          <cell r="F445">
            <v>825</v>
          </cell>
        </row>
        <row r="446">
          <cell r="C446" t="str">
            <v>S10WDPL090</v>
          </cell>
          <cell r="D446" t="str">
            <v>บาน D5 (0.30 x 1.15) ตีเกล็ดระบาย  TYPE C</v>
          </cell>
          <cell r="E446">
            <v>360</v>
          </cell>
          <cell r="F446">
            <v>490</v>
          </cell>
        </row>
        <row r="447">
          <cell r="C447" t="str">
            <v>S10WDPL092</v>
          </cell>
          <cell r="D447" t="str">
            <v xml:space="preserve">บาน D12K (0.8X2) ไม้อัดภายนอก(ครัว) </v>
          </cell>
          <cell r="E447">
            <v>535</v>
          </cell>
          <cell r="F447">
            <v>654.79999999999995</v>
          </cell>
        </row>
        <row r="448">
          <cell r="C448" t="str">
            <v>S10WDPL096</v>
          </cell>
          <cell r="D448" t="str">
            <v>บาน D3K (0.70 x 2.00) PVC เกล็ดตลอด</v>
          </cell>
          <cell r="E448">
            <v>700</v>
          </cell>
          <cell r="F448">
            <v>654.21</v>
          </cell>
        </row>
        <row r="449">
          <cell r="C449" t="str">
            <v>S10WDPL097</v>
          </cell>
          <cell r="D449" t="str">
            <v xml:space="preserve">บาน D2A (0.90 x 2.00) ไม้อัดภายนอก TYPE A </v>
          </cell>
          <cell r="E449">
            <v>1600</v>
          </cell>
          <cell r="F449">
            <v>640</v>
          </cell>
        </row>
        <row r="450">
          <cell r="C450" t="str">
            <v>S10WDPL101</v>
          </cell>
          <cell r="D450" t="str">
            <v>D6 ขนาด 0.80 x 2.00 m. บานไม้เต็ง ลูกฟักไม้เต็ง</v>
          </cell>
          <cell r="E450">
            <v>1200</v>
          </cell>
          <cell r="F450">
            <v>2040</v>
          </cell>
        </row>
        <row r="451">
          <cell r="C451" t="str">
            <v>S10WDPL102</v>
          </cell>
          <cell r="D451" t="str">
            <v>D8 ขนาด 0.40 x 2.00 m. บานไม้เต็งลูกฟัก ตีเกล็ดตลอด (บานคู่)</v>
          </cell>
          <cell r="E451">
            <v>1600</v>
          </cell>
          <cell r="F451">
            <v>700</v>
          </cell>
        </row>
        <row r="452">
          <cell r="C452" t="str">
            <v>S10WDPL103</v>
          </cell>
          <cell r="D452" t="str">
            <v>D9/1 ขนาด 0.35 x 1.45 m. บานไม้เต็งลูกฟัก ตีเกล็ดตลอด (บานคู่-ด้านข้าง)</v>
          </cell>
          <cell r="E452">
            <v>1200</v>
          </cell>
          <cell r="F452">
            <v>450</v>
          </cell>
        </row>
        <row r="453">
          <cell r="C453" t="str">
            <v>S10WDPL104</v>
          </cell>
          <cell r="D453" t="str">
            <v>D9/2 ขนาด 0.35 x 1.45 m. บานไม้อัดภายนอกกันชื้น (บานคู่)</v>
          </cell>
          <cell r="E453">
            <v>700</v>
          </cell>
          <cell r="F453">
            <v>550</v>
          </cell>
        </row>
        <row r="454">
          <cell r="C454" t="str">
            <v>S10WDPL108</v>
          </cell>
          <cell r="D454" t="str">
            <v>D4 ขนาด 0.70 x 2.00 m. บานไม้อัดลูกฟัก 2 ช่อง(บานคู่)</v>
          </cell>
          <cell r="E454">
            <v>1100</v>
          </cell>
          <cell r="F454">
            <v>1381.31</v>
          </cell>
        </row>
        <row r="455">
          <cell r="C455" t="str">
            <v>S10WDPL109</v>
          </cell>
          <cell r="D455" t="str">
            <v>D6 ขนาด 0.80 x 2.00 m. บานไม้เต็งลูกฟัก</v>
          </cell>
          <cell r="E455">
            <v>1800</v>
          </cell>
          <cell r="F455">
            <v>1500</v>
          </cell>
        </row>
        <row r="456">
          <cell r="C456" t="str">
            <v>S10WDPL111</v>
          </cell>
          <cell r="D456" t="str">
            <v>D10 ขนาด 0.70 x 2.00 m. บานไม้อัดกันชื้นภายนอก ตีเกล็ดด้านล่าง</v>
          </cell>
          <cell r="E456">
            <v>1200</v>
          </cell>
          <cell r="F456">
            <v>860</v>
          </cell>
        </row>
        <row r="457">
          <cell r="C457" t="str">
            <v>S10WDPL112</v>
          </cell>
          <cell r="D457" t="str">
            <v>D11 ขนาด 0.50 x 2.00 m. บานไม้เต็งลูกฟัก ตีเกล็ดตลอด(บานคู่)</v>
          </cell>
          <cell r="E457">
            <v>1100</v>
          </cell>
          <cell r="F457">
            <v>900</v>
          </cell>
        </row>
        <row r="458">
          <cell r="C458" t="str">
            <v>S10WDPL113</v>
          </cell>
          <cell r="D458" t="str">
            <v>D4 ขนาด 0.80 x 2.00 m. บานไม้เต็งลูกฟัก</v>
          </cell>
          <cell r="E458">
            <v>1800</v>
          </cell>
          <cell r="F458">
            <v>1500</v>
          </cell>
        </row>
        <row r="459">
          <cell r="C459" t="str">
            <v>S10WDPL114</v>
          </cell>
          <cell r="D459" t="str">
            <v>D6 ขนาด 0.80 x 2.00 m. บานไม้เต็งลูกฟัก</v>
          </cell>
          <cell r="E459">
            <v>1700</v>
          </cell>
          <cell r="F459">
            <v>1500</v>
          </cell>
        </row>
        <row r="460">
          <cell r="C460" t="str">
            <v>S10WDPL115</v>
          </cell>
          <cell r="D460" t="str">
            <v>D7 ขนาด 0.70 x 2.00 m. บานไม้อัดภายนอกกันชื้น ตีเกล็ดด้านล่าง</v>
          </cell>
          <cell r="E460">
            <v>950</v>
          </cell>
          <cell r="F460">
            <v>860</v>
          </cell>
        </row>
        <row r="461">
          <cell r="C461" t="str">
            <v>S10WDPL116</v>
          </cell>
          <cell r="D461" t="str">
            <v>D5/1 ขนาด 0.40 x 2.00 m. บานไม้อัดลูกฟัก 2 ช่อง</v>
          </cell>
          <cell r="E461">
            <v>750</v>
          </cell>
          <cell r="F461">
            <v>1074.77</v>
          </cell>
        </row>
        <row r="462">
          <cell r="C462" t="str">
            <v>S10WDPL117</v>
          </cell>
          <cell r="D462" t="str">
            <v>D5/2 ขนาด 0.80 x 2.00 m. บานไม้อัดลูกฟัก 2 ช่อง</v>
          </cell>
          <cell r="E462">
            <v>1200</v>
          </cell>
          <cell r="F462">
            <v>1381.31</v>
          </cell>
        </row>
        <row r="463">
          <cell r="C463" t="str">
            <v>S10WDPL118</v>
          </cell>
          <cell r="D463" t="str">
            <v>D7 ขนาด 0.80 x 2.00 m. บานไม้เต็งลูกฟัก</v>
          </cell>
          <cell r="E463">
            <v>1900</v>
          </cell>
          <cell r="F463">
            <v>2000</v>
          </cell>
        </row>
        <row r="464">
          <cell r="C464" t="str">
            <v>S10WDPL119</v>
          </cell>
          <cell r="D464" t="str">
            <v>D10 ขนาด 0.70 x 2.00 m. บานไม้อัดภายนอกกันชื้น ตีเกล็ดด้านล่าง</v>
          </cell>
          <cell r="E464">
            <v>950</v>
          </cell>
          <cell r="F464">
            <v>1150</v>
          </cell>
        </row>
        <row r="465">
          <cell r="C465" t="str">
            <v>S10WDPL120</v>
          </cell>
          <cell r="D465" t="str">
            <v>D11 ขนาด 0.50 x 2.00 m. บานไม้เต็งลูกฟัก ตีเกล็ดตลอด(บานคู่)</v>
          </cell>
          <cell r="E465">
            <v>1100</v>
          </cell>
          <cell r="F465">
            <v>1160</v>
          </cell>
        </row>
        <row r="466">
          <cell r="C466" t="str">
            <v>S10WDPL121</v>
          </cell>
          <cell r="D466" t="str">
            <v>D12 ขนาด 0.80 x 2.00 m. บานไม้ต็งลูกฟัก</v>
          </cell>
          <cell r="E466">
            <v>1800</v>
          </cell>
          <cell r="F466">
            <v>2000</v>
          </cell>
        </row>
        <row r="467">
          <cell r="C467" t="str">
            <v>S10WDPL125</v>
          </cell>
          <cell r="D467" t="str">
            <v>D5 ขนาด 0.80 x 2.00 m. บานไม้อัดลูกฟัก 2 ช่อง</v>
          </cell>
          <cell r="E467">
            <v>1200</v>
          </cell>
          <cell r="F467">
            <v>1381.31</v>
          </cell>
        </row>
        <row r="468">
          <cell r="C468" t="str">
            <v>S10WDPL126</v>
          </cell>
          <cell r="D468" t="str">
            <v>D7 ขนาด 0.80 x 2.00 m. บานไม้อัดลูกฟัก 2 ช่อง</v>
          </cell>
          <cell r="E468">
            <v>1200</v>
          </cell>
          <cell r="F468">
            <v>3181.31</v>
          </cell>
        </row>
        <row r="469">
          <cell r="C469" t="str">
            <v>S10WDPL131</v>
          </cell>
          <cell r="D469" t="str">
            <v>D3 ขนาด 0.80 x 2.00 m. บานไม้อัดลูกฟัก 2 ช่อง</v>
          </cell>
          <cell r="E469">
            <v>1200</v>
          </cell>
          <cell r="F469">
            <v>1381.31</v>
          </cell>
        </row>
        <row r="470">
          <cell r="C470" t="str">
            <v>S10WDPL132</v>
          </cell>
          <cell r="D470" t="str">
            <v>D4A  ขนาด 0.80 x 2.00 m. บานไม้อัดลูกฟัก 2 ช่อง</v>
          </cell>
          <cell r="E470">
            <v>1200</v>
          </cell>
          <cell r="F470">
            <v>1381.31</v>
          </cell>
        </row>
        <row r="471">
          <cell r="C471" t="str">
            <v>S10WDPL134</v>
          </cell>
          <cell r="D471" t="str">
            <v>D6 ขนาด 0.80 x 2.00 m. บานไม้อัดลูกฟัก 2 ช่อง</v>
          </cell>
          <cell r="E471">
            <v>1800</v>
          </cell>
          <cell r="F471">
            <v>1381.31</v>
          </cell>
        </row>
        <row r="472">
          <cell r="C472" t="str">
            <v>S10WDPL139</v>
          </cell>
          <cell r="D472" t="str">
            <v>D7 ขนาด 0.80 x 2.05 m. บานไม้อัดลูกฟัก ตีเกล็ดด้านล่าง</v>
          </cell>
          <cell r="E472">
            <v>1200</v>
          </cell>
          <cell r="F472">
            <v>1549.53</v>
          </cell>
        </row>
        <row r="473">
          <cell r="C473" t="str">
            <v>S10WDPL142</v>
          </cell>
          <cell r="D473" t="str">
            <v>D5 ขนาด 0.80 x 2.05 m. บานไม้อัดลูกฟัก ตีเกล็ดด้านล่าง</v>
          </cell>
          <cell r="E473">
            <v>1200</v>
          </cell>
          <cell r="F473">
            <v>1549.53</v>
          </cell>
        </row>
        <row r="474">
          <cell r="C474" t="str">
            <v>S10WDPL143</v>
          </cell>
          <cell r="D474" t="str">
            <v>D8 ขนาด 0.80 x 2.05 m. บานไม้อัดลูกฟัก ตีเกล็ดด้านล่าง</v>
          </cell>
          <cell r="E474">
            <v>1200</v>
          </cell>
          <cell r="F474">
            <v>1549.53</v>
          </cell>
        </row>
        <row r="475">
          <cell r="C475" t="str">
            <v>S10WDPL145</v>
          </cell>
          <cell r="D475" t="str">
            <v>D8 ขนาด 0.80 x 2.05 m. บานไม้อัดลูกฟัก ตีเกล็ดด้านล่าง</v>
          </cell>
          <cell r="E475">
            <v>1200</v>
          </cell>
          <cell r="F475">
            <v>1549.53</v>
          </cell>
        </row>
        <row r="476">
          <cell r="C476" t="str">
            <v>S10WDPL148</v>
          </cell>
          <cell r="D476" t="str">
            <v xml:space="preserve">D4/1 ขนาด 0.90 x 0.20 ช่องด้านบน ลูกฟักไม้เต็งติดตาย (บานโค้ง) </v>
          </cell>
          <cell r="E476">
            <v>1800</v>
          </cell>
          <cell r="F476">
            <v>530</v>
          </cell>
        </row>
        <row r="477">
          <cell r="C477" t="str">
            <v>S10WDPL149</v>
          </cell>
          <cell r="D477" t="str">
            <v xml:space="preserve">D9/1 ขนาด 0.90 x 0.20 ช่องด้านบน ลูกฟักไม้เต็งติดตาย (บานโค้ง) </v>
          </cell>
          <cell r="E477">
            <v>1800</v>
          </cell>
          <cell r="F477">
            <v>550</v>
          </cell>
        </row>
        <row r="478">
          <cell r="C478" t="str">
            <v>S10WDPL150</v>
          </cell>
          <cell r="D478" t="str">
            <v>D4/2 ขนาด 0.90 x 2.05 บานไม้อัดลูกฟัก ตีเกล็ดด้านล่าง</v>
          </cell>
          <cell r="E478">
            <v>1300</v>
          </cell>
          <cell r="F478">
            <v>1689.72</v>
          </cell>
        </row>
        <row r="479">
          <cell r="C479" t="str">
            <v>S10WDPL151</v>
          </cell>
          <cell r="D479" t="str">
            <v>D9/2 ขนาด 0.90 x 2.05 บานไม้อัดลูกฟัก ตีเกล็ดด้านล่าง</v>
          </cell>
          <cell r="E479">
            <v>1600</v>
          </cell>
          <cell r="F479">
            <v>1689.72</v>
          </cell>
        </row>
        <row r="480">
          <cell r="C480" t="str">
            <v>S10WDPL156</v>
          </cell>
          <cell r="D480" t="str">
            <v>SH-BบานD6ขนาด0.8x2.0m.บานลูกฟักไม้เต็</v>
          </cell>
          <cell r="E480">
            <v>1600</v>
          </cell>
          <cell r="F480">
            <v>1600</v>
          </cell>
        </row>
        <row r="481">
          <cell r="C481" t="str">
            <v>S10WDPL167</v>
          </cell>
          <cell r="D481" t="str">
            <v>SH-B บาน D1/1 ขนาด 0.80*2.00 ม.</v>
          </cell>
          <cell r="E481">
            <v>900</v>
          </cell>
          <cell r="F481">
            <v>680</v>
          </cell>
        </row>
        <row r="482">
          <cell r="C482" t="str">
            <v>S10WDPL168</v>
          </cell>
          <cell r="D482" t="str">
            <v>SH-B บาน D1/2 ขนาด 0.60*2.00 ม.</v>
          </cell>
          <cell r="E482">
            <v>900</v>
          </cell>
          <cell r="F482">
            <v>640</v>
          </cell>
        </row>
        <row r="483">
          <cell r="C483" t="str">
            <v>S10WDPL169</v>
          </cell>
          <cell r="D483" t="str">
            <v>SH-B บาน D2 ขนาด 0.80*2.00 ม.</v>
          </cell>
          <cell r="E483">
            <v>950</v>
          </cell>
          <cell r="F483">
            <v>650</v>
          </cell>
        </row>
        <row r="484">
          <cell r="C484" t="str">
            <v>S10WDPL170</v>
          </cell>
          <cell r="D484" t="str">
            <v>SH-B บาน D3/1 ขนาด 1.00*2.00 ม.บานลูกฟัก</v>
          </cell>
          <cell r="E484">
            <v>1000</v>
          </cell>
          <cell r="F484">
            <v>850</v>
          </cell>
        </row>
        <row r="485">
          <cell r="C485" t="str">
            <v>S10WDPL171</v>
          </cell>
          <cell r="D485" t="str">
            <v>SH-B บาน D9 ขนาด 0.90*2.00 ม.บานลูกฟัก</v>
          </cell>
          <cell r="E485">
            <v>1000</v>
          </cell>
          <cell r="F485">
            <v>750</v>
          </cell>
        </row>
        <row r="486">
          <cell r="C486" t="str">
            <v>S10WWFR004</v>
          </cell>
          <cell r="D486" t="str">
            <v>วงกบ W2 (1.00 x 1.00) TYPE A</v>
          </cell>
          <cell r="E486">
            <v>345</v>
          </cell>
          <cell r="F486">
            <v>390</v>
          </cell>
        </row>
        <row r="487">
          <cell r="C487" t="str">
            <v>S10WWFR006</v>
          </cell>
          <cell r="D487" t="str">
            <v>วงกบ W4 (0.80 x 2.00) 10 ช่องแสง TYPE A</v>
          </cell>
          <cell r="E487">
            <v>670</v>
          </cell>
          <cell r="F487">
            <v>760</v>
          </cell>
        </row>
        <row r="488">
          <cell r="C488" t="str">
            <v>S10WWFR007</v>
          </cell>
          <cell r="D488" t="str">
            <v>วงกบ W5 (0.50 x 0.40) TYPE A</v>
          </cell>
          <cell r="E488">
            <v>180</v>
          </cell>
          <cell r="F488">
            <v>220</v>
          </cell>
        </row>
        <row r="489">
          <cell r="C489" t="str">
            <v>S10WWFR008</v>
          </cell>
          <cell r="D489" t="str">
            <v>วงกบ W1 (1.40 x 1.60) TYPE A</v>
          </cell>
          <cell r="E489">
            <v>475</v>
          </cell>
          <cell r="F489">
            <v>510</v>
          </cell>
        </row>
        <row r="490">
          <cell r="C490" t="str">
            <v>S10WWFR009</v>
          </cell>
          <cell r="D490" t="str">
            <v>วงกบ  W2 (1.60 x 1.10)  TYPE B</v>
          </cell>
          <cell r="E490">
            <v>440</v>
          </cell>
          <cell r="F490">
            <v>455</v>
          </cell>
        </row>
        <row r="491">
          <cell r="C491" t="str">
            <v>S10WWFR010</v>
          </cell>
          <cell r="D491" t="str">
            <v xml:space="preserve">วงกบ  W3 (0.60 x 1.10)  TYPE B </v>
          </cell>
          <cell r="E491">
            <v>300</v>
          </cell>
          <cell r="F491">
            <v>315</v>
          </cell>
        </row>
        <row r="492">
          <cell r="C492" t="str">
            <v>S10WWFR011</v>
          </cell>
          <cell r="D492" t="str">
            <v>วงกบ  W4 (1.10 x 1.10)   TYPE B</v>
          </cell>
          <cell r="E492">
            <v>410</v>
          </cell>
          <cell r="F492">
            <v>405</v>
          </cell>
        </row>
        <row r="493">
          <cell r="C493" t="str">
            <v>S10WWFR012</v>
          </cell>
          <cell r="D493" t="str">
            <v>วงกบ  W5 (0.50 x 1.10)   TYPE B</v>
          </cell>
          <cell r="E493">
            <v>210</v>
          </cell>
          <cell r="F493">
            <v>305</v>
          </cell>
        </row>
        <row r="494">
          <cell r="C494" t="str">
            <v>S10WWFR013</v>
          </cell>
          <cell r="D494" t="str">
            <v>วงกบ W6 (0.50 x 0.50)  TYPE B</v>
          </cell>
          <cell r="E494">
            <v>210</v>
          </cell>
          <cell r="F494">
            <v>195</v>
          </cell>
        </row>
        <row r="495">
          <cell r="C495" t="str">
            <v>S10WWFR014</v>
          </cell>
          <cell r="D495" t="str">
            <v>วงกบ W1 (1.60 x 1.75)  TYPE B</v>
          </cell>
          <cell r="E495">
            <v>826</v>
          </cell>
          <cell r="F495">
            <v>740</v>
          </cell>
        </row>
        <row r="496">
          <cell r="C496" t="str">
            <v>S10WWFR022</v>
          </cell>
          <cell r="D496" t="str">
            <v>SH-B วงกบ W1 ขนาด 2.05*1.45 ม.</v>
          </cell>
          <cell r="E496">
            <v>1350</v>
          </cell>
          <cell r="F496">
            <v>1200</v>
          </cell>
        </row>
        <row r="497">
          <cell r="C497" t="str">
            <v>S10WWFR023</v>
          </cell>
          <cell r="D497" t="str">
            <v>SH-B วงกบ W2 ขนาด 2.05*1.45 ม.</v>
          </cell>
          <cell r="E497">
            <v>680</v>
          </cell>
          <cell r="F497">
            <v>850</v>
          </cell>
        </row>
        <row r="498">
          <cell r="C498" t="str">
            <v>S10WWFR024</v>
          </cell>
          <cell r="D498" t="str">
            <v>SH-B วงกบ W3 ขนาด 1.00*2.00 ม.</v>
          </cell>
          <cell r="E498">
            <v>900</v>
          </cell>
          <cell r="F498">
            <v>800</v>
          </cell>
        </row>
        <row r="499">
          <cell r="C499" t="str">
            <v>S10WWFR025</v>
          </cell>
          <cell r="D499" t="str">
            <v>SH-B วงกบ W4 ขนาด 0.70*2.00 ม.</v>
          </cell>
          <cell r="E499">
            <v>780</v>
          </cell>
          <cell r="F499">
            <v>670</v>
          </cell>
        </row>
        <row r="500">
          <cell r="C500" t="str">
            <v>S10WWFR026</v>
          </cell>
          <cell r="D500" t="str">
            <v>SH-B วงกบ W5 ขนาด 1.00*2.00 ม.</v>
          </cell>
          <cell r="E500">
            <v>2200</v>
          </cell>
          <cell r="F500">
            <v>1800</v>
          </cell>
        </row>
        <row r="501">
          <cell r="C501" t="str">
            <v>S10WWFR027</v>
          </cell>
          <cell r="D501" t="str">
            <v>SH-B วงกบ W6 ขนาด 1.00*1.45 ม.</v>
          </cell>
          <cell r="E501">
            <v>550</v>
          </cell>
          <cell r="F501">
            <v>550</v>
          </cell>
        </row>
        <row r="502">
          <cell r="C502" t="str">
            <v>S10WWFR028</v>
          </cell>
          <cell r="D502" t="str">
            <v>SH-B วงกบ W7 ขนาด 2.05*1.10 ม.</v>
          </cell>
          <cell r="E502">
            <v>850</v>
          </cell>
          <cell r="F502">
            <v>790</v>
          </cell>
        </row>
        <row r="503">
          <cell r="C503" t="str">
            <v>S10WWFR029</v>
          </cell>
          <cell r="D503" t="str">
            <v>SH-B วงกบ W8 ขนาด 1.00*1.10 ม.</v>
          </cell>
          <cell r="E503">
            <v>450</v>
          </cell>
          <cell r="F503">
            <v>440</v>
          </cell>
        </row>
        <row r="504">
          <cell r="C504" t="str">
            <v>S10WWFR030</v>
          </cell>
          <cell r="D504" t="str">
            <v>SH-B วงกบ W9 ขนาด 1.30*3.30 ม.</v>
          </cell>
          <cell r="E504">
            <v>4200</v>
          </cell>
          <cell r="F504">
            <v>3800</v>
          </cell>
        </row>
        <row r="505">
          <cell r="C505" t="str">
            <v>S10WWFR031</v>
          </cell>
          <cell r="D505" t="str">
            <v>SH-B วงกบ W10 ขนาด 1.05*0.40 ม.</v>
          </cell>
          <cell r="E505">
            <v>370</v>
          </cell>
          <cell r="F505">
            <v>375</v>
          </cell>
        </row>
        <row r="506">
          <cell r="C506" t="str">
            <v>S10WWFR033</v>
          </cell>
          <cell r="D506" t="str">
            <v>SH-B วงกบ W12 ขนาด 0.50*0.40 ม.</v>
          </cell>
          <cell r="E506">
            <v>270</v>
          </cell>
          <cell r="F506">
            <v>300</v>
          </cell>
        </row>
        <row r="507">
          <cell r="C507" t="str">
            <v>S10WWFR087</v>
          </cell>
          <cell r="D507" t="str">
            <v xml:space="preserve">วงกบ W1 (1.20 x 1.50)  TYPE C </v>
          </cell>
          <cell r="E507">
            <v>1000</v>
          </cell>
          <cell r="F507">
            <v>1100</v>
          </cell>
        </row>
        <row r="508">
          <cell r="C508" t="str">
            <v>S10WWFR088</v>
          </cell>
          <cell r="D508" t="str">
            <v>วงกบ W2 (0.40 x 1.20)  TYPE C</v>
          </cell>
          <cell r="E508">
            <v>360</v>
          </cell>
          <cell r="F508">
            <v>390</v>
          </cell>
        </row>
        <row r="509">
          <cell r="C509" t="str">
            <v>S10WWFR089</v>
          </cell>
          <cell r="D509" t="str">
            <v>วงกบ W3 (0.40 x 0.70)  TYPE C</v>
          </cell>
          <cell r="E509">
            <v>210</v>
          </cell>
          <cell r="F509">
            <v>266.10000000000002</v>
          </cell>
        </row>
        <row r="510">
          <cell r="C510" t="str">
            <v>S10WWFR091</v>
          </cell>
          <cell r="D510" t="str">
            <v>วงกบ  W4 (1.2 x 1.50)  TYPE C</v>
          </cell>
          <cell r="E510">
            <v>1140</v>
          </cell>
          <cell r="F510">
            <v>1250</v>
          </cell>
        </row>
        <row r="511">
          <cell r="C511" t="str">
            <v>S10WWFR092</v>
          </cell>
          <cell r="D511" t="str">
            <v>วงกบ W12K (0.60 x 1.10)  TYPE A</v>
          </cell>
          <cell r="E511">
            <v>340</v>
          </cell>
          <cell r="F511">
            <v>340</v>
          </cell>
        </row>
        <row r="512">
          <cell r="C512" t="str">
            <v>S10WWFR093</v>
          </cell>
          <cell r="D512" t="str">
            <v>วงกบ W4K (0.80 x 1.20) 6 ช่องแสง  TYPE A</v>
          </cell>
          <cell r="E512">
            <v>450</v>
          </cell>
          <cell r="F512">
            <v>520</v>
          </cell>
        </row>
        <row r="513">
          <cell r="C513" t="str">
            <v>S10WWFR094</v>
          </cell>
          <cell r="D513" t="str">
            <v>วงกบ W12K  (1.10 x 0.60)  TYPE B</v>
          </cell>
          <cell r="E513">
            <v>285</v>
          </cell>
          <cell r="F513">
            <v>285</v>
          </cell>
        </row>
        <row r="514">
          <cell r="C514" t="str">
            <v>S10WWFR095</v>
          </cell>
          <cell r="D514" t="str">
            <v>วงกบ W12K (1.1 x 0.60)  TYPE C</v>
          </cell>
          <cell r="E514">
            <v>370</v>
          </cell>
          <cell r="F514">
            <v>285</v>
          </cell>
        </row>
        <row r="515">
          <cell r="C515" t="str">
            <v>S10WWFR098</v>
          </cell>
          <cell r="D515" t="str">
            <v>วงกบ W3K (2.00 x 1.00) บานติดตาย  TYPE A</v>
          </cell>
          <cell r="E515">
            <v>810</v>
          </cell>
          <cell r="F515">
            <v>890</v>
          </cell>
        </row>
        <row r="516">
          <cell r="C516" t="str">
            <v>S10WWFR099</v>
          </cell>
          <cell r="D516" t="str">
            <v>วงกบ W5K (0.50 x 0.80)  TYPE C</v>
          </cell>
          <cell r="E516">
            <v>250</v>
          </cell>
          <cell r="F516">
            <v>280</v>
          </cell>
        </row>
        <row r="517">
          <cell r="C517" t="str">
            <v>S10WWFR138</v>
          </cell>
          <cell r="D517" t="str">
            <v>วงกบ W1 (1.30 x 1.60) TYPE C</v>
          </cell>
          <cell r="E517">
            <v>520</v>
          </cell>
          <cell r="F517">
            <v>530</v>
          </cell>
        </row>
        <row r="518">
          <cell r="C518" t="str">
            <v>S10WWFR139</v>
          </cell>
          <cell r="D518" t="str">
            <v>วงกบ W4 (1.30 x 1.20) TYPE C</v>
          </cell>
          <cell r="E518">
            <v>450</v>
          </cell>
          <cell r="F518">
            <v>460</v>
          </cell>
        </row>
        <row r="519">
          <cell r="C519" t="str">
            <v>S10WWFR203</v>
          </cell>
          <cell r="D519" t="str">
            <v>วงกบ W2 0.50x0.80 กระจกติดตาย</v>
          </cell>
          <cell r="F519">
            <v>300</v>
          </cell>
        </row>
        <row r="520">
          <cell r="C520" t="str">
            <v>S10WWFR204</v>
          </cell>
          <cell r="D520" t="str">
            <v>วงกบ W3 0.60x0.50 เกร็ดกระจกติดตายระบายอากาศ</v>
          </cell>
          <cell r="F520">
            <v>250</v>
          </cell>
        </row>
        <row r="521">
          <cell r="C521" t="str">
            <v>S10WWPL001</v>
          </cell>
          <cell r="D521" t="str">
            <v>บาน W1 (0.80 x 1.40 ) ไม้เต็ง 8 ช่องแสง  TYPE A</v>
          </cell>
          <cell r="E521">
            <v>315</v>
          </cell>
          <cell r="F521">
            <v>480</v>
          </cell>
        </row>
        <row r="522">
          <cell r="C522" t="str">
            <v>S10WWPL002</v>
          </cell>
          <cell r="D522" t="str">
            <v>บาน W2 (0.50 x 1.00 ) ไม้เต็ง  3 ช่องแสง  TYPE A</v>
          </cell>
          <cell r="E522">
            <v>370</v>
          </cell>
          <cell r="F522">
            <v>260</v>
          </cell>
        </row>
        <row r="523">
          <cell r="C523" t="str">
            <v>S10WWPL005</v>
          </cell>
          <cell r="D523" t="str">
            <v>บาน W2 (0.80 x 1.10 )  TYPE B</v>
          </cell>
          <cell r="E523">
            <v>360</v>
          </cell>
          <cell r="F523">
            <v>335</v>
          </cell>
        </row>
        <row r="524">
          <cell r="C524" t="str">
            <v>S10WWPL006</v>
          </cell>
          <cell r="D524" t="str">
            <v>บาน W3 (0.60 x 1.10 )  TYPE B</v>
          </cell>
          <cell r="E524">
            <v>250</v>
          </cell>
          <cell r="F524">
            <v>285</v>
          </cell>
        </row>
        <row r="525">
          <cell r="C525" t="str">
            <v>S10WWPL007</v>
          </cell>
          <cell r="D525" t="str">
            <v>บาน W4 (0.60 x 1.10 )  TYPE B</v>
          </cell>
          <cell r="E525">
            <v>250</v>
          </cell>
          <cell r="F525">
            <v>285</v>
          </cell>
        </row>
        <row r="526">
          <cell r="C526" t="str">
            <v>S10WWPL008</v>
          </cell>
          <cell r="D526" t="str">
            <v>บาน W5 (0.50 x 1.10 )  TYPE B</v>
          </cell>
          <cell r="E526">
            <v>240</v>
          </cell>
          <cell r="F526">
            <v>285</v>
          </cell>
        </row>
        <row r="527">
          <cell r="C527" t="str">
            <v>S10WWPL009</v>
          </cell>
          <cell r="D527" t="str">
            <v>บาน W1 (0.80 x 1.40 )  TYPE B</v>
          </cell>
          <cell r="E527">
            <v>360</v>
          </cell>
          <cell r="F527">
            <v>380</v>
          </cell>
        </row>
        <row r="528">
          <cell r="C528" t="str">
            <v>S10WWPL034</v>
          </cell>
          <cell r="D528" t="str">
            <v>SH-B บาน W1 ขนาด 0.50*1.10 ม.</v>
          </cell>
          <cell r="E528">
            <v>420</v>
          </cell>
          <cell r="F528">
            <v>290</v>
          </cell>
        </row>
        <row r="529">
          <cell r="C529" t="str">
            <v>S10WWPL035</v>
          </cell>
          <cell r="D529" t="str">
            <v>SH-B บาน W2 ขนาด 0.50*1.45 ม.</v>
          </cell>
          <cell r="E529">
            <v>460</v>
          </cell>
          <cell r="F529">
            <v>330</v>
          </cell>
        </row>
        <row r="530">
          <cell r="C530" t="str">
            <v>S10WWPL036</v>
          </cell>
          <cell r="D530" t="str">
            <v>SH-B บาน W3/1 ขนาด 0.50*1.45 ม.</v>
          </cell>
          <cell r="E530">
            <v>460</v>
          </cell>
          <cell r="F530">
            <v>330</v>
          </cell>
        </row>
        <row r="531">
          <cell r="C531" t="str">
            <v>S10WWPL037</v>
          </cell>
          <cell r="D531" t="str">
            <v>SH-B บาน W3/2 ขนาด 0.50*0.50 ม.</v>
          </cell>
          <cell r="E531">
            <v>280</v>
          </cell>
          <cell r="F531">
            <v>150</v>
          </cell>
        </row>
        <row r="532">
          <cell r="C532" t="str">
            <v>S10WWPL038</v>
          </cell>
          <cell r="D532" t="str">
            <v>SH-B บาน W4/1 ขนาด 0.70*1.45 ม.</v>
          </cell>
          <cell r="E532">
            <v>520</v>
          </cell>
          <cell r="F532">
            <v>380</v>
          </cell>
        </row>
        <row r="533">
          <cell r="C533" t="str">
            <v>S10WWPL039</v>
          </cell>
          <cell r="D533" t="str">
            <v>SH-B บาน W4/2 ขนาด 0.70*0.50 ม.</v>
          </cell>
          <cell r="E533">
            <v>320</v>
          </cell>
          <cell r="F533">
            <v>160</v>
          </cell>
        </row>
        <row r="534">
          <cell r="C534" t="str">
            <v>S10WWPL040</v>
          </cell>
          <cell r="D534" t="str">
            <v>SH-B บาน W5/1 ขนาด 0.50*1.45 ม.</v>
          </cell>
          <cell r="E534">
            <v>460</v>
          </cell>
          <cell r="F534">
            <v>330</v>
          </cell>
        </row>
        <row r="535">
          <cell r="C535" t="str">
            <v>S10WWPL041</v>
          </cell>
          <cell r="D535" t="str">
            <v>SH-B บาน W5/2 ขนาด 0.50*0.50 ม.บานโค้ง</v>
          </cell>
          <cell r="E535">
            <v>300</v>
          </cell>
          <cell r="F535">
            <v>250</v>
          </cell>
        </row>
        <row r="536">
          <cell r="C536" t="str">
            <v>S10WWPL042</v>
          </cell>
          <cell r="D536" t="str">
            <v>SH-B บาน W6 ขนาด 0.50*1.45 ม.</v>
          </cell>
          <cell r="E536">
            <v>460</v>
          </cell>
          <cell r="F536">
            <v>330</v>
          </cell>
        </row>
        <row r="537">
          <cell r="C537" t="str">
            <v>S10WWPL043</v>
          </cell>
          <cell r="D537" t="str">
            <v>SH-B บาน W7 ขนาด 0.50*1.10 ม.</v>
          </cell>
          <cell r="E537">
            <v>420</v>
          </cell>
          <cell r="F537">
            <v>290</v>
          </cell>
        </row>
        <row r="538">
          <cell r="C538" t="str">
            <v>S10WWPL044</v>
          </cell>
          <cell r="D538" t="str">
            <v>SH-B บาน W8 ขนาด 0.50*1.10 ม.</v>
          </cell>
          <cell r="E538">
            <v>420</v>
          </cell>
          <cell r="F538">
            <v>290</v>
          </cell>
        </row>
        <row r="539">
          <cell r="C539" t="str">
            <v>S10WWPL046</v>
          </cell>
          <cell r="D539" t="str">
            <v>SH-B บาน W10 ขนาด 0.50*0.40 ม.</v>
          </cell>
          <cell r="E539">
            <v>280</v>
          </cell>
          <cell r="F539">
            <v>150</v>
          </cell>
        </row>
        <row r="540">
          <cell r="C540" t="str">
            <v>S10WWPL047</v>
          </cell>
          <cell r="D540" t="str">
            <v>SH-B บาน W11 ขนาด 0.50*1.45 ม.</v>
          </cell>
          <cell r="E540">
            <v>580</v>
          </cell>
          <cell r="F540">
            <v>620.6</v>
          </cell>
        </row>
        <row r="541">
          <cell r="C541" t="str">
            <v>S10WWPL048</v>
          </cell>
          <cell r="D541" t="str">
            <v>SH-B บาน W12 ขนาด 0.50*0.40 ม.</v>
          </cell>
          <cell r="E541">
            <v>280</v>
          </cell>
          <cell r="F541">
            <v>150</v>
          </cell>
        </row>
        <row r="542">
          <cell r="C542" t="str">
            <v>S10WWPL083</v>
          </cell>
          <cell r="D542" t="str">
            <v xml:space="preserve">บาน W1 (0.60 x 1.50)  TYPE C </v>
          </cell>
          <cell r="E542">
            <v>320</v>
          </cell>
          <cell r="F542">
            <v>420</v>
          </cell>
        </row>
        <row r="543">
          <cell r="C543" t="str">
            <v>S10WWPL084</v>
          </cell>
          <cell r="D543" t="str">
            <v>บาน W2 (0.40 x 0.58)  TYPE C</v>
          </cell>
          <cell r="E543">
            <v>170</v>
          </cell>
          <cell r="F543">
            <v>220</v>
          </cell>
        </row>
        <row r="544">
          <cell r="C544" t="str">
            <v>S10WWPL085</v>
          </cell>
          <cell r="D544" t="str">
            <v>บาน W3 (0.40 x 0.70)  TYPE C</v>
          </cell>
          <cell r="E544">
            <v>190</v>
          </cell>
          <cell r="F544">
            <v>240</v>
          </cell>
        </row>
        <row r="545">
          <cell r="C545" t="str">
            <v>S10WWPL087</v>
          </cell>
          <cell r="D545" t="str">
            <v>บาน W4 (0.60 x 1.10)  TYPE C</v>
          </cell>
          <cell r="E545">
            <v>285</v>
          </cell>
          <cell r="F545">
            <v>315</v>
          </cell>
        </row>
        <row r="546">
          <cell r="C546" t="str">
            <v>S10WWPL088</v>
          </cell>
          <cell r="D546" t="str">
            <v>บาน W12K (0.6X1.1)  TYPE A</v>
          </cell>
          <cell r="E546">
            <v>320</v>
          </cell>
          <cell r="F546">
            <v>330</v>
          </cell>
        </row>
        <row r="547">
          <cell r="C547" t="str">
            <v>S10WWPL089</v>
          </cell>
          <cell r="D547" t="str">
            <v>บาน W12K (0.6X1.1)  TYPE B</v>
          </cell>
          <cell r="E547">
            <v>360</v>
          </cell>
          <cell r="F547">
            <v>280</v>
          </cell>
        </row>
        <row r="548">
          <cell r="C548" t="str">
            <v>S10WWPL090</v>
          </cell>
          <cell r="D548" t="str">
            <v>บาน W12K (0.6X1.1)  TYPE C</v>
          </cell>
          <cell r="E548">
            <v>320</v>
          </cell>
          <cell r="F548">
            <v>306.67</v>
          </cell>
        </row>
        <row r="549">
          <cell r="C549" t="str">
            <v>S10WWPL091</v>
          </cell>
          <cell r="D549" t="str">
            <v>SH-B บาน W9 ขนาด 0.50*0.50 ม.</v>
          </cell>
          <cell r="E549">
            <v>280</v>
          </cell>
          <cell r="F549">
            <v>150</v>
          </cell>
        </row>
        <row r="550">
          <cell r="C550" t="str">
            <v>S10WWPL093</v>
          </cell>
          <cell r="D550" t="str">
            <v>บาน W3K (0.60 x 1.00 ) ไม้เต็ง  3 ช่องแสง  TYPE A</v>
          </cell>
          <cell r="E550">
            <v>310</v>
          </cell>
          <cell r="F550">
            <v>280</v>
          </cell>
        </row>
        <row r="551">
          <cell r="C551" t="str">
            <v>S11CEMT001</v>
          </cell>
          <cell r="D551" t="str">
            <v>ปูนก่อ Q - CON</v>
          </cell>
          <cell r="E551">
            <v>172.5</v>
          </cell>
          <cell r="F551">
            <v>172.5</v>
          </cell>
        </row>
        <row r="552">
          <cell r="C552" t="str">
            <v>S11CEMT003</v>
          </cell>
          <cell r="D552" t="str">
            <v>ปูนซีเมนต์</v>
          </cell>
          <cell r="E552">
            <v>94.39</v>
          </cell>
          <cell r="F552">
            <v>89</v>
          </cell>
        </row>
        <row r="553">
          <cell r="C553" t="str">
            <v>S11CEMT005</v>
          </cell>
          <cell r="D553" t="str">
            <v>ปูนซีเมนต์ขาว (1 ถุง,20 kg)</v>
          </cell>
          <cell r="E553">
            <v>119</v>
          </cell>
          <cell r="F553">
            <v>127.33</v>
          </cell>
        </row>
        <row r="554">
          <cell r="C554" t="str">
            <v>S11CEMT007</v>
          </cell>
          <cell r="D554" t="str">
            <v>ปูนฉาบ Q-CON</v>
          </cell>
          <cell r="E554">
            <v>80</v>
          </cell>
          <cell r="F554">
            <v>80</v>
          </cell>
        </row>
        <row r="555">
          <cell r="C555" t="str">
            <v>S11CEMT009</v>
          </cell>
          <cell r="D555" t="str">
            <v>ยิปซั่ม "ไทยยิปซั่ม" (25kg./กระสอบ)</v>
          </cell>
          <cell r="E555">
            <v>200</v>
          </cell>
          <cell r="F555">
            <v>102</v>
          </cell>
        </row>
        <row r="556">
          <cell r="C556" t="str">
            <v>S11GLUE001</v>
          </cell>
          <cell r="D556" t="str">
            <v>กาวซีเมนต์ (1 ถุง,20 kg/2 ตร.ม.)</v>
          </cell>
          <cell r="E556">
            <v>80</v>
          </cell>
          <cell r="F556">
            <v>85.6</v>
          </cell>
        </row>
        <row r="557">
          <cell r="C557" t="str">
            <v>S11GLUE002</v>
          </cell>
          <cell r="D557" t="str">
            <v>EPOXY (LANKO 532 UTAREP # 80 C5) 5 kg./ชุด</v>
          </cell>
          <cell r="E557">
            <v>1400</v>
          </cell>
          <cell r="F557">
            <v>1400</v>
          </cell>
        </row>
        <row r="558">
          <cell r="C558" t="str">
            <v>S11GLUE004</v>
          </cell>
          <cell r="D558" t="str">
            <v>เวเทอร์โค้ท (ฟลินท์โค้ท เบอร์ 3 ขนาด 18 กก.)</v>
          </cell>
          <cell r="E558">
            <v>900</v>
          </cell>
          <cell r="F558">
            <v>900</v>
          </cell>
        </row>
        <row r="559">
          <cell r="C559" t="str">
            <v>S11GLUE005</v>
          </cell>
          <cell r="D559" t="str">
            <v>SCI-1600Neutral Cure Silicone(20Cart/Box)</v>
          </cell>
          <cell r="E559">
            <v>100</v>
          </cell>
          <cell r="F559">
            <v>107</v>
          </cell>
        </row>
        <row r="560">
          <cell r="C560" t="str">
            <v>S11GLUE007</v>
          </cell>
          <cell r="D560" t="str">
            <v>Acrylic Sealant TOA 3.785 L/Gallon</v>
          </cell>
          <cell r="E560">
            <v>1200</v>
          </cell>
          <cell r="F560">
            <v>765</v>
          </cell>
        </row>
        <row r="561">
          <cell r="C561" t="str">
            <v>S11GLUE008</v>
          </cell>
          <cell r="D561" t="str">
            <v>BUCKING ROD 6 mm.</v>
          </cell>
          <cell r="E561">
            <v>1</v>
          </cell>
          <cell r="F561">
            <v>100</v>
          </cell>
        </row>
        <row r="562">
          <cell r="C562" t="str">
            <v>S11GLUE010</v>
          </cell>
          <cell r="D562" t="str">
            <v>Sikaflex Construction 600 ml.</v>
          </cell>
          <cell r="E562">
            <v>170</v>
          </cell>
          <cell r="F562">
            <v>165</v>
          </cell>
        </row>
        <row r="563">
          <cell r="C563" t="str">
            <v>S11GLUE012</v>
          </cell>
          <cell r="D563" t="str">
            <v>SIKA BOND BREAKER (25 LT./ถัง)</v>
          </cell>
          <cell r="E563">
            <v>975</v>
          </cell>
          <cell r="F563">
            <v>975</v>
          </cell>
        </row>
        <row r="564">
          <cell r="C564" t="str">
            <v>S11GLUE013</v>
          </cell>
          <cell r="D564" t="str">
            <v>SIKA FORM OIL WB1 (200 LT./ถัง)</v>
          </cell>
          <cell r="E564">
            <v>6400</v>
          </cell>
          <cell r="F564">
            <v>6400</v>
          </cell>
        </row>
        <row r="565">
          <cell r="C565" t="str">
            <v>S11GLUE014</v>
          </cell>
          <cell r="D565" t="str">
            <v>EPOXY SIKADUR 732</v>
          </cell>
          <cell r="E565">
            <v>560</v>
          </cell>
          <cell r="F565">
            <v>560</v>
          </cell>
        </row>
        <row r="566">
          <cell r="C566" t="str">
            <v>S11GLUE016</v>
          </cell>
          <cell r="D566" t="str">
            <v>กัมกรีต</v>
          </cell>
          <cell r="E566">
            <v>180</v>
          </cell>
          <cell r="F566">
            <v>171.2</v>
          </cell>
        </row>
        <row r="567">
          <cell r="C567" t="str">
            <v>S11GLUE017</v>
          </cell>
          <cell r="D567" t="str">
            <v>Acrylic Sealant SISTA F130</v>
          </cell>
          <cell r="E567">
            <v>65.42</v>
          </cell>
          <cell r="F567">
            <v>65.42</v>
          </cell>
        </row>
        <row r="568">
          <cell r="C568" t="str">
            <v>S11GLUE018</v>
          </cell>
          <cell r="D568" t="str">
            <v>SIKA GROUT 214-11</v>
          </cell>
          <cell r="E568">
            <v>300</v>
          </cell>
          <cell r="F568">
            <v>300</v>
          </cell>
        </row>
        <row r="569">
          <cell r="C569" t="str">
            <v>S11GLUE019</v>
          </cell>
          <cell r="D569" t="str">
            <v>เวเทอร์โค้ท(ฟลิ้นท์โค้ท) เบอร์3 ขนาด 4 กก.</v>
          </cell>
          <cell r="E569">
            <v>900</v>
          </cell>
          <cell r="F569">
            <v>185</v>
          </cell>
        </row>
        <row r="570">
          <cell r="C570" t="str">
            <v>S11GLUE020</v>
          </cell>
          <cell r="D570" t="str">
            <v>NON-SHRINK</v>
          </cell>
          <cell r="E570">
            <v>200</v>
          </cell>
          <cell r="F570">
            <v>200</v>
          </cell>
        </row>
        <row r="571">
          <cell r="C571" t="str">
            <v>S11GLUE022</v>
          </cell>
          <cell r="D571" t="str">
            <v>LANKO 101 ( 25 กก./ ถัง )</v>
          </cell>
          <cell r="E571">
            <v>550</v>
          </cell>
          <cell r="F571">
            <v>550</v>
          </cell>
        </row>
        <row r="572">
          <cell r="C572" t="str">
            <v>S12SAND001</v>
          </cell>
          <cell r="D572" t="str">
            <v>ทรายถม</v>
          </cell>
          <cell r="E572">
            <v>180</v>
          </cell>
          <cell r="F572">
            <v>190</v>
          </cell>
        </row>
        <row r="573">
          <cell r="C573" t="str">
            <v>S12SAND002</v>
          </cell>
          <cell r="D573" t="str">
            <v>ทรายละเอียด</v>
          </cell>
          <cell r="E573">
            <v>225</v>
          </cell>
          <cell r="F573">
            <v>225</v>
          </cell>
        </row>
        <row r="574">
          <cell r="C574" t="str">
            <v>S12SAND003</v>
          </cell>
          <cell r="D574" t="str">
            <v xml:space="preserve">ทรายหยาบ </v>
          </cell>
          <cell r="E574">
            <v>220</v>
          </cell>
          <cell r="F574">
            <v>270</v>
          </cell>
        </row>
        <row r="575">
          <cell r="C575" t="str">
            <v>S13TMTK002</v>
          </cell>
          <cell r="D575" t="str">
            <v>ถัง DOS - 1600T พร้อมอุปกรณ์</v>
          </cell>
          <cell r="E575">
            <v>3831.75</v>
          </cell>
          <cell r="F575">
            <v>4500</v>
          </cell>
        </row>
        <row r="576">
          <cell r="C576" t="str">
            <v>S13TMTK008</v>
          </cell>
          <cell r="D576" t="str">
            <v>ถัง DOS DUT-1600 พร้อมอุปกรณ์ (ถังน้ำดี)</v>
          </cell>
          <cell r="E576">
            <v>5820.8</v>
          </cell>
          <cell r="F576">
            <v>5420.56</v>
          </cell>
        </row>
        <row r="577">
          <cell r="C577" t="str">
            <v>S13TMTK009</v>
          </cell>
          <cell r="D577" t="str">
            <v>ถังดักไขมันใต้ดิน DOS รุ่น DGT/U-40</v>
          </cell>
          <cell r="E577">
            <v>1754.8</v>
          </cell>
          <cell r="F577">
            <v>860</v>
          </cell>
        </row>
        <row r="578">
          <cell r="C578" t="str">
            <v>S13TMTK014</v>
          </cell>
          <cell r="D578" t="str">
            <v>ถังดักไขมัน DOS 350x450x335 mm.</v>
          </cell>
          <cell r="E578">
            <v>616.82000000000005</v>
          </cell>
          <cell r="F578">
            <v>711.55</v>
          </cell>
        </row>
        <row r="579">
          <cell r="C579" t="str">
            <v>S13TMTK015</v>
          </cell>
          <cell r="D579" t="str">
            <v>ท่อ FLEXIBLE JOINT + STAINLESS CLAMP</v>
          </cell>
          <cell r="E579">
            <v>500</v>
          </cell>
          <cell r="F579">
            <v>535</v>
          </cell>
        </row>
        <row r="580">
          <cell r="C580" t="str">
            <v>S14FITT001</v>
          </cell>
          <cell r="D580" t="str">
            <v>สะดืออ่าง 2 ตอน</v>
          </cell>
          <cell r="E580">
            <v>134</v>
          </cell>
          <cell r="F580">
            <v>21.4</v>
          </cell>
        </row>
        <row r="581">
          <cell r="C581" t="str">
            <v>S14FITT002</v>
          </cell>
          <cell r="D581" t="str">
            <v>ฝักบัวสายอ่อนสีขาว</v>
          </cell>
          <cell r="E581">
            <v>51</v>
          </cell>
          <cell r="F581">
            <v>72.760000000000005</v>
          </cell>
        </row>
        <row r="582">
          <cell r="C582" t="str">
            <v>S14FITT003</v>
          </cell>
          <cell r="D582" t="str">
            <v>สายน้ำดีพลาสติกขนาด 16"</v>
          </cell>
          <cell r="E582">
            <v>17</v>
          </cell>
          <cell r="F582">
            <v>18.190000000000001</v>
          </cell>
        </row>
        <row r="583">
          <cell r="C583" t="str">
            <v>S14FITT004</v>
          </cell>
          <cell r="D583" t="str">
            <v>สายชำระอ่อนสีขาว</v>
          </cell>
          <cell r="E583">
            <v>124</v>
          </cell>
          <cell r="F583">
            <v>90.95</v>
          </cell>
        </row>
        <row r="584">
          <cell r="C584" t="str">
            <v>S14FITT005</v>
          </cell>
          <cell r="D584" t="str">
            <v>ก๊อกอ่างล้างหน้าหัวแก้ว PREMA PM-101</v>
          </cell>
          <cell r="E584">
            <v>131</v>
          </cell>
          <cell r="F584">
            <v>157.29</v>
          </cell>
        </row>
        <row r="585">
          <cell r="C585" t="str">
            <v>S14FITT006</v>
          </cell>
          <cell r="D585" t="str">
            <v>วาวล์ลอยหัวแก้ว(ก๊อกฝักบัว) PREMAOPM-102</v>
          </cell>
          <cell r="E585">
            <v>105</v>
          </cell>
          <cell r="F585">
            <v>134.82</v>
          </cell>
        </row>
        <row r="586">
          <cell r="C586" t="str">
            <v>S14FITT007</v>
          </cell>
          <cell r="D586" t="str">
            <v>ราวแขวนผ้า C812</v>
          </cell>
          <cell r="E586">
            <v>143</v>
          </cell>
          <cell r="F586">
            <v>179.44</v>
          </cell>
        </row>
        <row r="587">
          <cell r="C587" t="str">
            <v>S14FITT008</v>
          </cell>
          <cell r="D587" t="str">
            <v>กระจกกลม สีขาว</v>
          </cell>
          <cell r="E587">
            <v>275</v>
          </cell>
          <cell r="F587">
            <v>134.82</v>
          </cell>
        </row>
        <row r="588">
          <cell r="C588" t="str">
            <v>S14FITT009</v>
          </cell>
          <cell r="D588" t="str">
            <v xml:space="preserve">หิ้งเรียบ C821  6" x 18"  </v>
          </cell>
          <cell r="E588">
            <v>140</v>
          </cell>
          <cell r="F588">
            <v>184.04</v>
          </cell>
        </row>
        <row r="589">
          <cell r="C589" t="str">
            <v>S14FITT010</v>
          </cell>
          <cell r="D589" t="str">
            <v>ท่อน้ำทิ้งพลาสติก</v>
          </cell>
          <cell r="E589">
            <v>37.380000000000003</v>
          </cell>
          <cell r="F589">
            <v>24.07</v>
          </cell>
        </row>
        <row r="590">
          <cell r="C590" t="str">
            <v>S14FITT022</v>
          </cell>
          <cell r="D590" t="str">
            <v>ราวพาดผ้า C812</v>
          </cell>
          <cell r="E590">
            <v>143</v>
          </cell>
          <cell r="F590">
            <v>143</v>
          </cell>
        </row>
        <row r="591">
          <cell r="C591" t="str">
            <v>S14FITT023</v>
          </cell>
          <cell r="D591" t="str">
            <v>ก๊อกน้ำ+ฝักบัวสายอ่อน CT367A S20</v>
          </cell>
          <cell r="E591">
            <v>2383</v>
          </cell>
          <cell r="F591">
            <v>2300</v>
          </cell>
        </row>
        <row r="592">
          <cell r="C592" t="str">
            <v>S14FITT024</v>
          </cell>
          <cell r="D592" t="str">
            <v>สายฉีดชำระ PM600K#CR(HM)</v>
          </cell>
          <cell r="E592">
            <v>262</v>
          </cell>
          <cell r="F592">
            <v>262</v>
          </cell>
        </row>
        <row r="593">
          <cell r="C593" t="str">
            <v>S14FITT025</v>
          </cell>
          <cell r="D593" t="str">
            <v>ก๊อกน้ำอ่างล้างหน้า CT167D</v>
          </cell>
          <cell r="E593">
            <v>768</v>
          </cell>
          <cell r="F593">
            <v>768</v>
          </cell>
        </row>
        <row r="594">
          <cell r="C594" t="str">
            <v>S14FITT026</v>
          </cell>
          <cell r="D594" t="str">
            <v>สะดืออ่างล้างหน้า CT670</v>
          </cell>
          <cell r="E594">
            <v>134</v>
          </cell>
          <cell r="F594">
            <v>134</v>
          </cell>
        </row>
        <row r="595">
          <cell r="C595" t="str">
            <v>S14FITT027</v>
          </cell>
          <cell r="D595" t="str">
            <v>ท่อน้ำทิ้ง CT683AX</v>
          </cell>
          <cell r="E595">
            <v>435</v>
          </cell>
          <cell r="F595">
            <v>435</v>
          </cell>
        </row>
        <row r="596">
          <cell r="C596" t="str">
            <v>S14FITT028</v>
          </cell>
          <cell r="D596" t="str">
            <v>สายน้ำดี S283</v>
          </cell>
          <cell r="E596">
            <v>51</v>
          </cell>
          <cell r="F596">
            <v>72</v>
          </cell>
        </row>
        <row r="597">
          <cell r="C597" t="str">
            <v>S14FITT029</v>
          </cell>
          <cell r="D597" t="str">
            <v>STOP VALVE อ่างล้างหน้า CT190C6</v>
          </cell>
          <cell r="E597">
            <v>154</v>
          </cell>
          <cell r="F597">
            <v>154</v>
          </cell>
        </row>
        <row r="598">
          <cell r="C598" t="str">
            <v>S14FITT030</v>
          </cell>
          <cell r="D598" t="str">
            <v>STOP VALVE สายชำระ CT190C6</v>
          </cell>
          <cell r="E598">
            <v>154</v>
          </cell>
          <cell r="F598">
            <v>154</v>
          </cell>
        </row>
        <row r="599">
          <cell r="C599" t="str">
            <v>S14FITT031</v>
          </cell>
          <cell r="D599" t="str">
            <v>ก๊อกน้ำ+ฝักบัวสายอ่อน CT367A S17</v>
          </cell>
          <cell r="E599">
            <v>2000</v>
          </cell>
          <cell r="F599">
            <v>1897</v>
          </cell>
        </row>
        <row r="600">
          <cell r="C600" t="str">
            <v>S14FITT032</v>
          </cell>
          <cell r="D600" t="str">
            <v>สายฉีดชำระ PM600#WH</v>
          </cell>
          <cell r="E600">
            <v>124</v>
          </cell>
          <cell r="F600">
            <v>124</v>
          </cell>
        </row>
        <row r="601">
          <cell r="C601" t="str">
            <v>S14FITT033</v>
          </cell>
          <cell r="D601" t="str">
            <v>สะดืออ่างล้างหน้า CT673</v>
          </cell>
          <cell r="E601">
            <v>134</v>
          </cell>
          <cell r="F601">
            <v>134</v>
          </cell>
        </row>
        <row r="602">
          <cell r="C602" t="str">
            <v>S14FITT080</v>
          </cell>
          <cell r="D602" t="str">
            <v>ก๊อกน้ำ+ฝักบัวสายอ่อน TS218A CT702(HM) S22</v>
          </cell>
          <cell r="F602">
            <v>3586</v>
          </cell>
        </row>
        <row r="603">
          <cell r="C603" t="str">
            <v>S14FITT081</v>
          </cell>
          <cell r="D603" t="str">
            <v>สายฉีดชำระ CT667NK#CR(HM)</v>
          </cell>
          <cell r="E603">
            <v>378</v>
          </cell>
          <cell r="F603">
            <v>378</v>
          </cell>
        </row>
        <row r="604">
          <cell r="C604" t="str">
            <v>S14FITT082</v>
          </cell>
          <cell r="D604" t="str">
            <v>ก๊อกน้ำอ่างล้างหน้า CT166A</v>
          </cell>
          <cell r="E604">
            <v>1284</v>
          </cell>
          <cell r="F604">
            <v>1200</v>
          </cell>
        </row>
        <row r="605">
          <cell r="C605" t="str">
            <v>S14FITT083</v>
          </cell>
          <cell r="D605" t="str">
            <v>สะดืออ่างล้างหน้า CT673</v>
          </cell>
          <cell r="E605">
            <v>134</v>
          </cell>
          <cell r="F605">
            <v>134</v>
          </cell>
        </row>
        <row r="606">
          <cell r="C606" t="str">
            <v>S14FITT085</v>
          </cell>
          <cell r="D606" t="str">
            <v>STOP VALVE อ่างล้างหน้า CT190C6</v>
          </cell>
          <cell r="E606">
            <v>154</v>
          </cell>
          <cell r="F606">
            <v>154</v>
          </cell>
        </row>
        <row r="607">
          <cell r="C607" t="str">
            <v>S14FITT086</v>
          </cell>
          <cell r="D607" t="str">
            <v>STOP VALVE สายชำระ CT190C6</v>
          </cell>
          <cell r="E607">
            <v>154</v>
          </cell>
          <cell r="F607">
            <v>154</v>
          </cell>
        </row>
        <row r="608">
          <cell r="C608" t="str">
            <v>S14FITT087</v>
          </cell>
          <cell r="D608" t="str">
            <v>ก๊อกอ่างอาบน้ำ TS219A CT702(HM) S22</v>
          </cell>
          <cell r="E608">
            <v>4350</v>
          </cell>
          <cell r="F608">
            <v>4066</v>
          </cell>
        </row>
        <row r="609">
          <cell r="C609" t="str">
            <v>S14FITT088</v>
          </cell>
          <cell r="D609" t="str">
            <v>ราวพาดผ้า C832</v>
          </cell>
          <cell r="E609">
            <v>204</v>
          </cell>
          <cell r="F609">
            <v>204</v>
          </cell>
        </row>
        <row r="610">
          <cell r="C610" t="str">
            <v>S14FITT089</v>
          </cell>
          <cell r="D610" t="str">
            <v>ก๊อกน้ำ+ฝักบัวสายอ่อน CT367A CT702(HM) S20</v>
          </cell>
          <cell r="E610">
            <v>2383</v>
          </cell>
          <cell r="F610">
            <v>3343</v>
          </cell>
        </row>
        <row r="611">
          <cell r="C611" t="str">
            <v>S14FITT090</v>
          </cell>
          <cell r="D611" t="str">
            <v>สายฉีดชำระ PM600K#CR(HM)</v>
          </cell>
          <cell r="E611">
            <v>262</v>
          </cell>
          <cell r="F611">
            <v>262</v>
          </cell>
        </row>
        <row r="612">
          <cell r="C612" t="str">
            <v>S14FITT091</v>
          </cell>
          <cell r="D612" t="str">
            <v>ก๊อกน้ำอ่างล้างหน้า CT167D</v>
          </cell>
          <cell r="E612">
            <v>768</v>
          </cell>
          <cell r="F612">
            <v>768</v>
          </cell>
        </row>
        <row r="613">
          <cell r="C613" t="str">
            <v>S14FITT092</v>
          </cell>
          <cell r="D613" t="str">
            <v>ท่อน้ำทิ้ง CT683AX</v>
          </cell>
          <cell r="E613">
            <v>435</v>
          </cell>
          <cell r="F613">
            <v>435</v>
          </cell>
        </row>
        <row r="614">
          <cell r="C614" t="str">
            <v>S14FITT093</v>
          </cell>
          <cell r="D614" t="str">
            <v>สายน้ำดี S283</v>
          </cell>
          <cell r="E614">
            <v>51</v>
          </cell>
          <cell r="F614">
            <v>51</v>
          </cell>
        </row>
        <row r="615">
          <cell r="C615" t="str">
            <v>S14FITT094</v>
          </cell>
          <cell r="D615" t="str">
            <v>กระจกเงา+ชั้นวางของ+ราวพาดผ้า  PM902(WH)</v>
          </cell>
          <cell r="E615">
            <v>275</v>
          </cell>
          <cell r="F615">
            <v>275</v>
          </cell>
        </row>
        <row r="616">
          <cell r="C616" t="str">
            <v>S14FITT095</v>
          </cell>
          <cell r="D616" t="str">
            <v>ก๊อกน้ำ+ฝักบัวสายอ่อน PM300P1(HM)</v>
          </cell>
          <cell r="E616">
            <v>234</v>
          </cell>
          <cell r="F616">
            <v>234</v>
          </cell>
        </row>
        <row r="617">
          <cell r="C617" t="str">
            <v>S14FITT096</v>
          </cell>
          <cell r="D617" t="str">
            <v>ก๊อกน้ำอ่างล้างหน้า PM101P1</v>
          </cell>
          <cell r="E617">
            <v>105</v>
          </cell>
          <cell r="F617">
            <v>131</v>
          </cell>
        </row>
        <row r="618">
          <cell r="C618" t="str">
            <v>S14FITT097</v>
          </cell>
          <cell r="D618" t="str">
            <v>สายฉีดชำระ PM600#WH</v>
          </cell>
          <cell r="E618">
            <v>124</v>
          </cell>
          <cell r="F618">
            <v>124</v>
          </cell>
        </row>
        <row r="619">
          <cell r="C619" t="str">
            <v>S14FITT098</v>
          </cell>
          <cell r="D619" t="str">
            <v>สะดืออ่างล้างหน้า PM402</v>
          </cell>
          <cell r="E619">
            <v>103</v>
          </cell>
          <cell r="F619">
            <v>103</v>
          </cell>
        </row>
        <row r="620">
          <cell r="C620" t="str">
            <v>S14FITT099</v>
          </cell>
          <cell r="D620" t="str">
            <v>ท่อน้ำทิ้ง PM401</v>
          </cell>
          <cell r="E620">
            <v>267</v>
          </cell>
          <cell r="F620">
            <v>207</v>
          </cell>
        </row>
        <row r="621">
          <cell r="C621" t="str">
            <v>S14FITT100</v>
          </cell>
          <cell r="D621" t="str">
            <v>STOP VALVE อ่างล้างหน้า PM102P1</v>
          </cell>
          <cell r="E621">
            <v>105</v>
          </cell>
          <cell r="F621">
            <v>133</v>
          </cell>
        </row>
        <row r="622">
          <cell r="C622" t="str">
            <v>S14FITT110</v>
          </cell>
          <cell r="D622" t="str">
            <v>ก๊อกน้ำ+ฝักบัวสายอ่อน CT353A CT702(HM) S23</v>
          </cell>
          <cell r="E622">
            <v>2313</v>
          </cell>
          <cell r="F622">
            <v>3213</v>
          </cell>
        </row>
        <row r="623">
          <cell r="C623" t="str">
            <v>S14FITT111</v>
          </cell>
          <cell r="D623" t="str">
            <v>สายฉีดชำระ CT667NK#CR(HM)</v>
          </cell>
          <cell r="E623">
            <v>378</v>
          </cell>
          <cell r="F623">
            <v>378</v>
          </cell>
        </row>
        <row r="624">
          <cell r="C624" t="str">
            <v>S14FITT112</v>
          </cell>
          <cell r="D624" t="str">
            <v>สะดืออ่างล้างหน้า CT673</v>
          </cell>
          <cell r="E624">
            <v>134</v>
          </cell>
          <cell r="F624">
            <v>134</v>
          </cell>
        </row>
        <row r="625">
          <cell r="C625" t="str">
            <v>S14FITT113</v>
          </cell>
          <cell r="D625" t="str">
            <v>ก๊อกน้ำอ่างล้างหน้า CT165A</v>
          </cell>
          <cell r="E625">
            <v>928</v>
          </cell>
          <cell r="F625">
            <v>928</v>
          </cell>
        </row>
        <row r="626">
          <cell r="C626" t="str">
            <v>S14FITT114</v>
          </cell>
          <cell r="D626" t="str">
            <v>ท่อน้ำทิ้ง CT683AX</v>
          </cell>
          <cell r="E626">
            <v>435</v>
          </cell>
          <cell r="F626">
            <v>435</v>
          </cell>
        </row>
        <row r="627">
          <cell r="C627" t="str">
            <v>S14FITT115</v>
          </cell>
          <cell r="D627" t="str">
            <v>สายน้ำดี S283</v>
          </cell>
          <cell r="E627">
            <v>51</v>
          </cell>
          <cell r="F627">
            <v>51</v>
          </cell>
        </row>
        <row r="628">
          <cell r="C628" t="str">
            <v>S14FITT116</v>
          </cell>
          <cell r="D628" t="str">
            <v>ก๊อกอ่างอาบน้ำ CT352A CT702(HM) S23</v>
          </cell>
          <cell r="E628">
            <v>3213</v>
          </cell>
          <cell r="F628">
            <v>3674</v>
          </cell>
        </row>
        <row r="629">
          <cell r="C629" t="str">
            <v>S14FITT117</v>
          </cell>
          <cell r="D629" t="str">
            <v>STOP VALVE สายชำระ CT190C6</v>
          </cell>
          <cell r="E629">
            <v>154</v>
          </cell>
          <cell r="F629">
            <v>154</v>
          </cell>
        </row>
        <row r="630">
          <cell r="C630" t="str">
            <v>S14FITT118</v>
          </cell>
          <cell r="D630" t="str">
            <v>STOP VALVE อ่างล้างหน้า CT190C6</v>
          </cell>
          <cell r="E630">
            <v>154</v>
          </cell>
          <cell r="F630">
            <v>154</v>
          </cell>
        </row>
        <row r="631">
          <cell r="C631" t="str">
            <v>S14FITT119</v>
          </cell>
          <cell r="D631" t="str">
            <v>ก๊อกน้ำ+ฝักบัวสายอ่อน CT367A S20</v>
          </cell>
          <cell r="E631">
            <v>2383</v>
          </cell>
          <cell r="F631">
            <v>2383</v>
          </cell>
        </row>
        <row r="632">
          <cell r="C632" t="str">
            <v>S14FITT120</v>
          </cell>
          <cell r="D632" t="str">
            <v>สายฉีดชำระ PM600#WH</v>
          </cell>
          <cell r="E632">
            <v>124</v>
          </cell>
          <cell r="F632">
            <v>124</v>
          </cell>
        </row>
        <row r="633">
          <cell r="C633" t="str">
            <v>S14FITT121</v>
          </cell>
          <cell r="D633" t="str">
            <v>ก๊อกน้ำอ่างล้างหน้า CT167D</v>
          </cell>
          <cell r="E633">
            <v>768</v>
          </cell>
          <cell r="F633">
            <v>768</v>
          </cell>
        </row>
        <row r="634">
          <cell r="C634" t="str">
            <v>S14FITT122</v>
          </cell>
          <cell r="D634" t="str">
            <v>สะดืออ่างล้างหน้า CT670</v>
          </cell>
          <cell r="E634">
            <v>134</v>
          </cell>
          <cell r="F634">
            <v>134</v>
          </cell>
        </row>
        <row r="635">
          <cell r="C635" t="str">
            <v>S14FITT123</v>
          </cell>
          <cell r="D635" t="str">
            <v>กระจกเงา+ชั้นวางของ+ราวพาดผ้า  PM902(WH)</v>
          </cell>
          <cell r="E635">
            <v>275</v>
          </cell>
          <cell r="F635">
            <v>275</v>
          </cell>
        </row>
        <row r="636">
          <cell r="C636" t="str">
            <v>S14FITT124</v>
          </cell>
          <cell r="D636" t="str">
            <v>ก๊อกน้ำ+ฝักบัวสายอ่อน PM300P1(HM)</v>
          </cell>
          <cell r="E636">
            <v>234</v>
          </cell>
          <cell r="F636">
            <v>234</v>
          </cell>
        </row>
        <row r="637">
          <cell r="C637" t="str">
            <v>S14FITT125</v>
          </cell>
          <cell r="D637" t="str">
            <v>ก๊อกน้ำอ่างล้างหน้า PM101P1</v>
          </cell>
          <cell r="E637">
            <v>140</v>
          </cell>
          <cell r="F637">
            <v>131</v>
          </cell>
        </row>
        <row r="638">
          <cell r="C638" t="str">
            <v>S14FITT126</v>
          </cell>
          <cell r="D638" t="str">
            <v>สะดืออ่างล้างหน้า PM402</v>
          </cell>
          <cell r="E638">
            <v>105</v>
          </cell>
          <cell r="F638">
            <v>103</v>
          </cell>
        </row>
        <row r="639">
          <cell r="C639" t="str">
            <v>S14FITT127</v>
          </cell>
          <cell r="D639" t="str">
            <v>ท่อน้ำทิ้ง PM401</v>
          </cell>
          <cell r="E639">
            <v>207</v>
          </cell>
          <cell r="F639">
            <v>207</v>
          </cell>
        </row>
        <row r="640">
          <cell r="C640" t="str">
            <v>S14FITT128</v>
          </cell>
          <cell r="D640" t="str">
            <v>STOP VALVE อ่างล้างหน้า PM102P1</v>
          </cell>
          <cell r="E640">
            <v>105</v>
          </cell>
          <cell r="F640">
            <v>105</v>
          </cell>
        </row>
        <row r="641">
          <cell r="C641" t="str">
            <v>S14FITT131</v>
          </cell>
          <cell r="D641" t="str">
            <v>STOP VALVE สายชำระ PM102P1</v>
          </cell>
          <cell r="E641">
            <v>105</v>
          </cell>
          <cell r="F641">
            <v>105</v>
          </cell>
        </row>
        <row r="642">
          <cell r="C642" t="str">
            <v>S14FITT132</v>
          </cell>
          <cell r="D642" t="str">
            <v>STOP VALVE โถสุขภัณฑ์ PM102P1</v>
          </cell>
          <cell r="E642">
            <v>105</v>
          </cell>
          <cell r="F642">
            <v>105</v>
          </cell>
        </row>
        <row r="643">
          <cell r="C643" t="str">
            <v>S14FITT135</v>
          </cell>
          <cell r="D643" t="str">
            <v>STOP VALVE โถสุขภัณฑ์ PM102P1</v>
          </cell>
          <cell r="E643">
            <v>105</v>
          </cell>
          <cell r="F643">
            <v>105</v>
          </cell>
        </row>
        <row r="644">
          <cell r="C644" t="str">
            <v>S14FITT136</v>
          </cell>
          <cell r="D644" t="str">
            <v>STOP VALVE สายชำระ PM102P1</v>
          </cell>
          <cell r="E644">
            <v>105</v>
          </cell>
          <cell r="F644">
            <v>105</v>
          </cell>
        </row>
        <row r="645">
          <cell r="C645" t="str">
            <v>S14FITT137</v>
          </cell>
          <cell r="D645" t="str">
            <v>ราวพาดผ้า C812</v>
          </cell>
          <cell r="E645">
            <v>143</v>
          </cell>
          <cell r="F645">
            <v>143</v>
          </cell>
        </row>
        <row r="646">
          <cell r="C646" t="str">
            <v>S14SANI001</v>
          </cell>
          <cell r="D646" t="str">
            <v>ที่วางสบู่ C805</v>
          </cell>
          <cell r="E646">
            <v>57</v>
          </cell>
          <cell r="F646">
            <v>73.62</v>
          </cell>
        </row>
        <row r="647">
          <cell r="C647" t="str">
            <v>S14SANI002</v>
          </cell>
          <cell r="D647" t="str">
            <v>ชักโครก รุ่น เอมี CSW 703</v>
          </cell>
          <cell r="E647">
            <v>1285</v>
          </cell>
          <cell r="F647">
            <v>1285</v>
          </cell>
        </row>
        <row r="648">
          <cell r="C648" t="str">
            <v>S14SANI003</v>
          </cell>
          <cell r="D648" t="str">
            <v>อ่างล้างหน้า รุ่น เวนดี้ C014</v>
          </cell>
          <cell r="E648">
            <v>290</v>
          </cell>
          <cell r="F648">
            <v>345.07</v>
          </cell>
        </row>
        <row r="649">
          <cell r="C649" t="str">
            <v>S14SANI004</v>
          </cell>
          <cell r="D649" t="str">
            <v>อ่างล้างหน้า รุ่น เคนซิงตัน C013</v>
          </cell>
          <cell r="E649">
            <v>248</v>
          </cell>
          <cell r="F649">
            <v>280.66000000000003</v>
          </cell>
        </row>
        <row r="650">
          <cell r="C650" t="str">
            <v>S14SANI005</v>
          </cell>
          <cell r="D650" t="str">
            <v>ขาตั้งแบบแขวน C420</v>
          </cell>
          <cell r="E650">
            <v>404.8</v>
          </cell>
          <cell r="F650">
            <v>455.5</v>
          </cell>
        </row>
        <row r="651">
          <cell r="C651" t="str">
            <v>S14SANI006</v>
          </cell>
          <cell r="D651" t="str">
            <v>ที่ใส่กระดาษชำระ C814</v>
          </cell>
          <cell r="E651">
            <v>52</v>
          </cell>
          <cell r="F651">
            <v>69.02</v>
          </cell>
        </row>
        <row r="652">
          <cell r="C652" t="str">
            <v>S14SANI014</v>
          </cell>
          <cell r="D652" t="str">
            <v>โถสุขภัณฑ์ C109</v>
          </cell>
          <cell r="E652">
            <v>4195</v>
          </cell>
          <cell r="F652">
            <v>4195</v>
          </cell>
        </row>
        <row r="653">
          <cell r="C653" t="str">
            <v>S14SANI015</v>
          </cell>
          <cell r="D653" t="str">
            <v>อ่างล้างหน้า C007</v>
          </cell>
          <cell r="E653">
            <v>520</v>
          </cell>
          <cell r="F653">
            <v>520</v>
          </cell>
        </row>
        <row r="654">
          <cell r="C654" t="str">
            <v>S14SANI016</v>
          </cell>
          <cell r="D654" t="str">
            <v>ที่ใส่กระดาษ C814</v>
          </cell>
          <cell r="E654">
            <v>52</v>
          </cell>
          <cell r="F654">
            <v>52</v>
          </cell>
        </row>
        <row r="655">
          <cell r="C655" t="str">
            <v>S14SANI017</v>
          </cell>
          <cell r="D655" t="str">
            <v>ที่ใส่สบู่ C805</v>
          </cell>
          <cell r="E655">
            <v>56</v>
          </cell>
          <cell r="F655">
            <v>56</v>
          </cell>
        </row>
        <row r="656">
          <cell r="C656" t="str">
            <v>S14SANI031</v>
          </cell>
          <cell r="D656" t="str">
            <v>อ่างล้างหน้า C021</v>
          </cell>
          <cell r="E656">
            <v>737</v>
          </cell>
          <cell r="F656">
            <v>737</v>
          </cell>
        </row>
        <row r="657">
          <cell r="C657" t="str">
            <v>S14SANI044</v>
          </cell>
          <cell r="D657" t="str">
            <v>โถสุขภัณฑ์ C1026</v>
          </cell>
          <cell r="F657">
            <v>10176</v>
          </cell>
        </row>
        <row r="658">
          <cell r="C658" t="str">
            <v>S14SANI045</v>
          </cell>
          <cell r="D658" t="str">
            <v>อ่างล้างหน้า C017</v>
          </cell>
          <cell r="F658">
            <v>646</v>
          </cell>
        </row>
        <row r="659">
          <cell r="C659" t="str">
            <v>S14SANI046</v>
          </cell>
          <cell r="D659" t="str">
            <v>อ่างอาบน้ำ BH223</v>
          </cell>
          <cell r="F659">
            <v>15563</v>
          </cell>
        </row>
        <row r="660">
          <cell r="C660" t="str">
            <v>S14SANI047</v>
          </cell>
          <cell r="D660" t="str">
            <v>ที่ใส่กระดาษ C8550</v>
          </cell>
          <cell r="E660">
            <v>65</v>
          </cell>
          <cell r="F660">
            <v>152</v>
          </cell>
        </row>
        <row r="661">
          <cell r="C661" t="str">
            <v>S14SANI048</v>
          </cell>
          <cell r="D661" t="str">
            <v>ที่ใส่สบู่ C8500</v>
          </cell>
          <cell r="E661">
            <v>65</v>
          </cell>
          <cell r="F661">
            <v>121</v>
          </cell>
        </row>
        <row r="662">
          <cell r="C662" t="str">
            <v>S14SANI049</v>
          </cell>
          <cell r="D662" t="str">
            <v>โถสุขภัณฑ์ C109</v>
          </cell>
          <cell r="E662">
            <v>4195</v>
          </cell>
          <cell r="F662">
            <v>4195</v>
          </cell>
        </row>
        <row r="663">
          <cell r="C663" t="str">
            <v>S14SANI050</v>
          </cell>
          <cell r="D663" t="str">
            <v>อ่างล้างหน้า C021</v>
          </cell>
          <cell r="E663">
            <v>737</v>
          </cell>
          <cell r="F663">
            <v>737</v>
          </cell>
        </row>
        <row r="664">
          <cell r="C664" t="str">
            <v>S14SANI051</v>
          </cell>
          <cell r="D664" t="str">
            <v>ที่ใส่สบู่ C830</v>
          </cell>
          <cell r="E664">
            <v>87</v>
          </cell>
          <cell r="F664">
            <v>87</v>
          </cell>
        </row>
        <row r="665">
          <cell r="C665" t="str">
            <v>S14SANI052</v>
          </cell>
          <cell r="D665" t="str">
            <v>ที่ใส่กระดาษ CT780</v>
          </cell>
          <cell r="F665">
            <v>465</v>
          </cell>
        </row>
        <row r="666">
          <cell r="C666" t="str">
            <v>S14SANI053</v>
          </cell>
          <cell r="D666" t="str">
            <v>โถสุขภัณ์แบบนั่งราบ CSW703</v>
          </cell>
          <cell r="E666">
            <v>1285</v>
          </cell>
          <cell r="F666">
            <v>1285</v>
          </cell>
        </row>
        <row r="667">
          <cell r="C667" t="str">
            <v>S14SANI054</v>
          </cell>
          <cell r="D667" t="str">
            <v>อ่างล้างหน้า C002</v>
          </cell>
          <cell r="E667">
            <v>208</v>
          </cell>
          <cell r="F667">
            <v>208</v>
          </cell>
        </row>
        <row r="668">
          <cell r="C668" t="str">
            <v>S14SANI055</v>
          </cell>
          <cell r="D668" t="str">
            <v>ที่ใส่สบู่ C805</v>
          </cell>
          <cell r="E668">
            <v>56</v>
          </cell>
          <cell r="F668">
            <v>56</v>
          </cell>
        </row>
        <row r="669">
          <cell r="C669" t="str">
            <v>S14SANI056</v>
          </cell>
          <cell r="D669" t="str">
            <v>โถสุขภัณฑ์ C1230</v>
          </cell>
          <cell r="E669">
            <v>5114</v>
          </cell>
          <cell r="F669">
            <v>5114</v>
          </cell>
        </row>
        <row r="670">
          <cell r="C670" t="str">
            <v>S14SANI057</v>
          </cell>
          <cell r="D670" t="str">
            <v>อ่างล้างหน้า C0260</v>
          </cell>
          <cell r="E670">
            <v>1084</v>
          </cell>
          <cell r="F670">
            <v>1084</v>
          </cell>
        </row>
        <row r="671">
          <cell r="C671" t="str">
            <v>S14SANI058</v>
          </cell>
          <cell r="D671" t="str">
            <v>อ่างอาบน้ำ BH227(P)</v>
          </cell>
          <cell r="E671">
            <v>5565</v>
          </cell>
          <cell r="F671">
            <v>5565</v>
          </cell>
        </row>
        <row r="672">
          <cell r="C672" t="str">
            <v>S14SANI059</v>
          </cell>
          <cell r="D672" t="str">
            <v>ที่ใส่กระดาษ C831</v>
          </cell>
          <cell r="E672">
            <v>95</v>
          </cell>
          <cell r="F672">
            <v>95</v>
          </cell>
        </row>
        <row r="673">
          <cell r="C673" t="str">
            <v>S14SANI060</v>
          </cell>
          <cell r="D673" t="str">
            <v>ที่ใส่สบู่ C830</v>
          </cell>
          <cell r="E673">
            <v>87</v>
          </cell>
          <cell r="F673">
            <v>87</v>
          </cell>
        </row>
        <row r="674">
          <cell r="C674" t="str">
            <v>S14SANI061</v>
          </cell>
          <cell r="D674" t="str">
            <v>โถสุขภัณฑ์ C109</v>
          </cell>
          <cell r="E674">
            <v>4195</v>
          </cell>
          <cell r="F674">
            <v>4195</v>
          </cell>
        </row>
        <row r="675">
          <cell r="C675" t="str">
            <v>S14SANI062</v>
          </cell>
          <cell r="D675" t="str">
            <v>อ่างล้างหน้า C021</v>
          </cell>
          <cell r="E675">
            <v>737</v>
          </cell>
          <cell r="F675">
            <v>737</v>
          </cell>
        </row>
        <row r="676">
          <cell r="C676" t="str">
            <v>S14SANI063</v>
          </cell>
          <cell r="D676" t="str">
            <v>ที่ใส่กระดาษ C814</v>
          </cell>
          <cell r="E676">
            <v>52</v>
          </cell>
          <cell r="F676">
            <v>52</v>
          </cell>
        </row>
        <row r="677">
          <cell r="C677" t="str">
            <v>S14SANI064</v>
          </cell>
          <cell r="D677" t="str">
            <v>ที่ใส่สบู่ C805</v>
          </cell>
          <cell r="E677">
            <v>56</v>
          </cell>
          <cell r="F677">
            <v>56</v>
          </cell>
        </row>
        <row r="678">
          <cell r="C678" t="str">
            <v>S14SANI066</v>
          </cell>
          <cell r="D678" t="str">
            <v>อ่างล้างหน้า C007</v>
          </cell>
          <cell r="E678">
            <v>520</v>
          </cell>
          <cell r="F678">
            <v>520</v>
          </cell>
        </row>
        <row r="679">
          <cell r="C679" t="str">
            <v>S14SANI067</v>
          </cell>
          <cell r="D679" t="str">
            <v>โถสุขภัณฑ์ CSW703</v>
          </cell>
          <cell r="E679">
            <v>1285</v>
          </cell>
          <cell r="F679">
            <v>1285</v>
          </cell>
        </row>
        <row r="680">
          <cell r="C680" t="str">
            <v>S14SANI068</v>
          </cell>
          <cell r="D680" t="str">
            <v>อ่างล้างหน้า C002</v>
          </cell>
          <cell r="E680">
            <v>208</v>
          </cell>
          <cell r="F680">
            <v>208</v>
          </cell>
        </row>
        <row r="681">
          <cell r="C681" t="str">
            <v>S14SANI583</v>
          </cell>
          <cell r="D681" t="str">
            <v>ตู้อาบน้ำ TYPE H (รวมค่าติดตั้ง)</v>
          </cell>
          <cell r="E681">
            <v>25000</v>
          </cell>
          <cell r="F681">
            <v>24750</v>
          </cell>
        </row>
        <row r="682">
          <cell r="C682" t="str">
            <v>S14SANI586</v>
          </cell>
          <cell r="D682" t="str">
            <v>ตู้อาบน้ำ TYPE K1 (รวมค่าติดตั้ง)</v>
          </cell>
          <cell r="E682">
            <v>31000</v>
          </cell>
          <cell r="F682">
            <v>30480</v>
          </cell>
        </row>
        <row r="683">
          <cell r="C683" t="str">
            <v>S14SANI587</v>
          </cell>
          <cell r="D683" t="str">
            <v>ตู้อาบน้ำ TYPE K3 (รวมค่าติดตั้ง)</v>
          </cell>
          <cell r="E683">
            <v>25000</v>
          </cell>
          <cell r="F683">
            <v>24350</v>
          </cell>
        </row>
        <row r="684">
          <cell r="C684" t="str">
            <v>S14SANI588</v>
          </cell>
          <cell r="D684" t="str">
            <v>ชุดตกแต่งห้องน้ำ TYPE C (รวมค่าติดตั้ง)</v>
          </cell>
          <cell r="E684">
            <v>25000</v>
          </cell>
          <cell r="F684">
            <v>26750</v>
          </cell>
        </row>
        <row r="685">
          <cell r="C685" t="str">
            <v>S14SANI590</v>
          </cell>
          <cell r="D685" t="str">
            <v>ชุดตกแต่งห้องน้ำ TYPE H (รวมค่าติดตั้ง)</v>
          </cell>
          <cell r="E685">
            <v>25000</v>
          </cell>
          <cell r="F685">
            <v>34562</v>
          </cell>
        </row>
        <row r="686">
          <cell r="C686" t="str">
            <v>S14SANI592</v>
          </cell>
          <cell r="D686" t="str">
            <v>ชุดตกแต่งห้องน้ำ TYPE K (รวมค่าติดตั้ง)</v>
          </cell>
          <cell r="E686">
            <v>31000</v>
          </cell>
          <cell r="F686">
            <v>33170</v>
          </cell>
        </row>
        <row r="687">
          <cell r="C687" t="str">
            <v>S15ELEC</v>
          </cell>
          <cell r="D687" t="str">
            <v>สาย THW 70 SQ.MM  (FUHRER)</v>
          </cell>
          <cell r="E687">
            <v>17</v>
          </cell>
          <cell r="F687">
            <v>18.190000000000001</v>
          </cell>
        </row>
        <row r="688">
          <cell r="C688" t="str">
            <v>S15ELEC001</v>
          </cell>
          <cell r="D688" t="str">
            <v>ตู้โหลดเซนเตอร์ 12 ช่วง 3P 100AT/100AF 1C&gt;10 KA (SAFE-T-CUT)</v>
          </cell>
          <cell r="E688">
            <v>1560</v>
          </cell>
          <cell r="F688">
            <v>1669.2</v>
          </cell>
        </row>
        <row r="689">
          <cell r="C689" t="str">
            <v>S15ELEC003</v>
          </cell>
          <cell r="D689" t="str">
            <v>ลูกเซอกิต 16 A 1P 5KA (SAFE-T-CUT)</v>
          </cell>
          <cell r="E689">
            <v>85</v>
          </cell>
          <cell r="F689">
            <v>80</v>
          </cell>
        </row>
        <row r="690">
          <cell r="C690" t="str">
            <v>S15ELEC004</v>
          </cell>
          <cell r="D690" t="str">
            <v>ลูกเซอกิต 20 A 1P 5KA (SAFE-T-CUT)</v>
          </cell>
          <cell r="E690">
            <v>85</v>
          </cell>
          <cell r="F690">
            <v>80</v>
          </cell>
        </row>
        <row r="691">
          <cell r="C691" t="str">
            <v>S15ELEC005</v>
          </cell>
          <cell r="D691" t="str">
            <v>ลูกเซอกิต 32 A 1P 5KA (SAFE-T-CUT)</v>
          </cell>
          <cell r="E691">
            <v>85</v>
          </cell>
          <cell r="F691">
            <v>80</v>
          </cell>
        </row>
        <row r="692">
          <cell r="C692" t="str">
            <v>S15ELEC006</v>
          </cell>
          <cell r="D692" t="str">
            <v>ลูกเซอกิต 45A 1P 5KA (SAFE-T-CUT)</v>
          </cell>
          <cell r="E692">
            <v>165</v>
          </cell>
          <cell r="F692">
            <v>176.55</v>
          </cell>
        </row>
        <row r="693">
          <cell r="C693" t="str">
            <v>S15ELEC007</v>
          </cell>
          <cell r="D693" t="str">
            <v>สาย THW  35 SG.MM  (FUHRER)</v>
          </cell>
          <cell r="E693">
            <v>61</v>
          </cell>
          <cell r="F693">
            <v>61.77</v>
          </cell>
        </row>
        <row r="694">
          <cell r="C694" t="str">
            <v>S15ELEC008</v>
          </cell>
          <cell r="D694" t="str">
            <v>สาย THW  16 SQ.MM (FUHRER)</v>
          </cell>
          <cell r="E694">
            <v>29</v>
          </cell>
          <cell r="F694">
            <v>28.19</v>
          </cell>
        </row>
        <row r="695">
          <cell r="C695" t="str">
            <v>S15ELEC009</v>
          </cell>
          <cell r="D695" t="str">
            <v>สาย THW  6 SQ.MM (FUHRER)</v>
          </cell>
          <cell r="E695">
            <v>15</v>
          </cell>
          <cell r="F695">
            <v>11.83</v>
          </cell>
        </row>
        <row r="696">
          <cell r="C696" t="str">
            <v>S15ELEC010</v>
          </cell>
          <cell r="D696" t="str">
            <v>สาย THW  4 SQ.MM (FUHRER)</v>
          </cell>
          <cell r="E696">
            <v>7.5</v>
          </cell>
          <cell r="F696">
            <v>6.96</v>
          </cell>
        </row>
        <row r="697">
          <cell r="C697" t="str">
            <v>S15ELEC011</v>
          </cell>
          <cell r="D697" t="str">
            <v>สาย THW  2.5 SQ.MM (FUHRER)</v>
          </cell>
          <cell r="E697">
            <v>5</v>
          </cell>
          <cell r="F697">
            <v>4.6100000000000003</v>
          </cell>
        </row>
        <row r="698">
          <cell r="C698" t="str">
            <v>S15ELEC012</v>
          </cell>
          <cell r="D698" t="str">
            <v>ท่อ PVC DIA. 2'' (ตราช้าง)</v>
          </cell>
          <cell r="E698">
            <v>221</v>
          </cell>
          <cell r="F698">
            <v>236.47000000000003</v>
          </cell>
        </row>
        <row r="699">
          <cell r="C699" t="str">
            <v>S15ELEC013</v>
          </cell>
          <cell r="D699" t="str">
            <v>ข้อโค้ง 90 องศา PVC DIA. 2'' (ตราช้าง)</v>
          </cell>
          <cell r="E699">
            <v>30</v>
          </cell>
          <cell r="F699">
            <v>32.1</v>
          </cell>
        </row>
        <row r="700">
          <cell r="C700" t="str">
            <v>S15ELEC014</v>
          </cell>
          <cell r="D700" t="str">
            <v>ข้อต่อตรง PVC DIA. 2'' (ตราช้าง)</v>
          </cell>
          <cell r="E700">
            <v>15</v>
          </cell>
          <cell r="F700">
            <v>16.05</v>
          </cell>
        </row>
        <row r="701">
          <cell r="C701" t="str">
            <v>S15ELEC015</v>
          </cell>
          <cell r="D701" t="str">
            <v>ท่อ PVC สีเหลือง DIA. 3/4" ยาว 4 ม.(ตราช้าง)</v>
          </cell>
          <cell r="E701">
            <v>42</v>
          </cell>
          <cell r="F701">
            <v>43</v>
          </cell>
        </row>
        <row r="702">
          <cell r="C702" t="str">
            <v>S15ELEC016</v>
          </cell>
          <cell r="D702" t="str">
            <v>ท่อ PVC DIA. 1/2'' (ตราช้าง)</v>
          </cell>
          <cell r="E702">
            <v>35</v>
          </cell>
          <cell r="F702">
            <v>35.5</v>
          </cell>
        </row>
        <row r="703">
          <cell r="C703" t="str">
            <v>S15ELEC017</v>
          </cell>
          <cell r="D703" t="str">
            <v>ข้อต่อตรง PVC DIA. 3/4'' (ตราช้าง)</v>
          </cell>
          <cell r="E703">
            <v>2.5</v>
          </cell>
          <cell r="F703">
            <v>2.75</v>
          </cell>
        </row>
        <row r="704">
          <cell r="C704" t="str">
            <v>S15ELEC018</v>
          </cell>
          <cell r="D704" t="str">
            <v>ข้อต่อตรง PVC DIA. 1/2'' (ตราช้าง)</v>
          </cell>
          <cell r="E704">
            <v>2</v>
          </cell>
          <cell r="F704">
            <v>2.15</v>
          </cell>
        </row>
        <row r="705">
          <cell r="C705" t="str">
            <v>S15ELEC019</v>
          </cell>
          <cell r="D705" t="str">
            <v>สแควบ็อกซ DIA. 1/2''x3/4''x1/2'' (ตราช้าง)</v>
          </cell>
          <cell r="E705">
            <v>7</v>
          </cell>
          <cell r="F705">
            <v>7</v>
          </cell>
        </row>
        <row r="706">
          <cell r="C706" t="str">
            <v>S15ELEC020</v>
          </cell>
          <cell r="D706" t="str">
            <v>แฮนดี้บ็อก DIA. 1/2''x3/4''x1/2'' (ตราช้าง)</v>
          </cell>
          <cell r="E706">
            <v>5</v>
          </cell>
          <cell r="F706">
            <v>5</v>
          </cell>
        </row>
        <row r="707">
          <cell r="C707" t="str">
            <v>S15ELEC021</v>
          </cell>
          <cell r="D707" t="str">
            <v>กราวด์ร็อด DIA. 5/8''x10''</v>
          </cell>
          <cell r="E707">
            <v>140</v>
          </cell>
          <cell r="F707">
            <v>120</v>
          </cell>
        </row>
        <row r="708">
          <cell r="C708" t="str">
            <v>S15ELEC022</v>
          </cell>
          <cell r="D708" t="str">
            <v>FLEX. (ท่ออ่อนเหล็ก) DIA. 3/4''</v>
          </cell>
          <cell r="E708">
            <v>7</v>
          </cell>
          <cell r="F708">
            <v>8</v>
          </cell>
        </row>
        <row r="709">
          <cell r="C709" t="str">
            <v>S15ELEC023</v>
          </cell>
          <cell r="D709" t="str">
            <v>FLEX. (ท่ออ่อนเหล็ก) DIA. 1/2''</v>
          </cell>
          <cell r="E709">
            <v>5</v>
          </cell>
          <cell r="F709">
            <v>5</v>
          </cell>
        </row>
        <row r="710">
          <cell r="C710" t="str">
            <v>S15ELEC024</v>
          </cell>
          <cell r="D710" t="str">
            <v>คอนเนคเตอร์ริค FLEX DIA.3/4''</v>
          </cell>
          <cell r="E710">
            <v>10</v>
          </cell>
          <cell r="F710">
            <v>10.700000000000001</v>
          </cell>
        </row>
        <row r="711">
          <cell r="C711" t="str">
            <v>S15ELEC025</v>
          </cell>
          <cell r="D711" t="str">
            <v>คอนเนคเตอร์ริค FLEX DIA.1/2''</v>
          </cell>
          <cell r="E711">
            <v>4</v>
          </cell>
          <cell r="F711">
            <v>4.28</v>
          </cell>
        </row>
        <row r="712">
          <cell r="C712" t="str">
            <v>S15ELEC026</v>
          </cell>
          <cell r="D712" t="str">
            <v>ฟูออเรสเซ้น LPRL 1-140T8/PRF LUSO</v>
          </cell>
          <cell r="E712">
            <v>637</v>
          </cell>
          <cell r="F712">
            <v>619</v>
          </cell>
        </row>
        <row r="713">
          <cell r="C713" t="str">
            <v>S15ELEC027</v>
          </cell>
          <cell r="D713" t="str">
            <v>โคมซาลาเปา  CEILING LAMP MW-9630 ขั้วE27 PEMCO</v>
          </cell>
          <cell r="E713">
            <v>297</v>
          </cell>
          <cell r="F713">
            <v>250</v>
          </cell>
        </row>
        <row r="714">
          <cell r="C714" t="str">
            <v>S15ELEC028</v>
          </cell>
          <cell r="D714" t="str">
            <v>โคมไฟหัวเสา</v>
          </cell>
          <cell r="F714">
            <v>425</v>
          </cell>
        </row>
        <row r="715">
          <cell r="C715" t="str">
            <v>S15ELEC029</v>
          </cell>
          <cell r="D715" t="str">
            <v>ดาวไลท์ 4" ขอบขาว ของคุณโกวิท</v>
          </cell>
          <cell r="E715">
            <v>160</v>
          </cell>
          <cell r="F715">
            <v>170</v>
          </cell>
        </row>
        <row r="716">
          <cell r="C716" t="str">
            <v>S15ELEC030</v>
          </cell>
          <cell r="D716" t="str">
            <v>โคม1x32W  CEILING LAMP CSG40-014AB/32W HOMEX</v>
          </cell>
          <cell r="E716">
            <v>500</v>
          </cell>
          <cell r="F716">
            <v>470</v>
          </cell>
        </row>
        <row r="717">
          <cell r="C717" t="str">
            <v>S15ELEC031</v>
          </cell>
          <cell r="D717" t="str">
            <v>โคมไฟกิ่งภายนอก OUTDOOR BRACKET LAMP 20950BK-UP ขั้วE27 PEMCO</v>
          </cell>
          <cell r="E717">
            <v>450</v>
          </cell>
          <cell r="F717">
            <v>435</v>
          </cell>
        </row>
        <row r="718">
          <cell r="C718" t="str">
            <v>S15ELEC032</v>
          </cell>
          <cell r="D718" t="str">
            <v>โคมช่อ CHANDELIER PSG 67-016/E27 HOMEX</v>
          </cell>
          <cell r="E718">
            <v>2860</v>
          </cell>
          <cell r="F718">
            <v>2640</v>
          </cell>
        </row>
        <row r="719">
          <cell r="C719" t="str">
            <v>S15ELEC033</v>
          </cell>
          <cell r="D719" t="str">
            <v>โคมช่อ CHANDELIER 52217/3W ขั้วE27 3ดวงห้อยเพดาน PEMCO</v>
          </cell>
          <cell r="E719">
            <v>1225</v>
          </cell>
          <cell r="F719">
            <v>1310.75</v>
          </cell>
        </row>
        <row r="720">
          <cell r="C720" t="str">
            <v>S15ELEC034</v>
          </cell>
          <cell r="D720" t="str">
            <v>สวิท 10A 250V (NATIONAL)</v>
          </cell>
          <cell r="E720">
            <v>28</v>
          </cell>
          <cell r="F720">
            <v>25</v>
          </cell>
        </row>
        <row r="721">
          <cell r="C721" t="str">
            <v>S15ELEC035</v>
          </cell>
          <cell r="D721" t="str">
            <v>สวิท 3 ทาง 10A 250V (NATIONAL)</v>
          </cell>
          <cell r="E721">
            <v>51</v>
          </cell>
          <cell r="F721">
            <v>49</v>
          </cell>
        </row>
        <row r="722">
          <cell r="C722" t="str">
            <v>S15ELEC036</v>
          </cell>
          <cell r="D722" t="str">
            <v>สวิทกระดิ่งกั้นน้ำ (NATIONAL)</v>
          </cell>
          <cell r="E722">
            <v>168</v>
          </cell>
          <cell r="F722">
            <v>167.2</v>
          </cell>
        </row>
        <row r="723">
          <cell r="C723" t="str">
            <v>S15ELEC037</v>
          </cell>
          <cell r="D723" t="str">
            <v>เต้ารับคู่ 2P+E 10A 2502V (NATIONAL)</v>
          </cell>
          <cell r="E723">
            <v>117</v>
          </cell>
          <cell r="F723">
            <v>109</v>
          </cell>
        </row>
        <row r="724">
          <cell r="C724" t="str">
            <v>S15ELEC038</v>
          </cell>
          <cell r="D724" t="str">
            <v>เต้ารับทีวี (NATIONAL)</v>
          </cell>
          <cell r="E724">
            <v>155</v>
          </cell>
          <cell r="F724">
            <v>154.80000000000001</v>
          </cell>
        </row>
        <row r="725">
          <cell r="C725" t="str">
            <v>S15ELEC039</v>
          </cell>
          <cell r="D725" t="str">
            <v>เต้ารับโทรศัพท์ (NATIONAL)</v>
          </cell>
          <cell r="E725">
            <v>120</v>
          </cell>
          <cell r="F725">
            <v>118.8</v>
          </cell>
        </row>
        <row r="726">
          <cell r="C726" t="str">
            <v>S15ELEC040</v>
          </cell>
          <cell r="D726" t="str">
            <v>หน้ากาก 1 ช่อง (NATIONAL)</v>
          </cell>
          <cell r="E726">
            <v>16</v>
          </cell>
          <cell r="F726">
            <v>15</v>
          </cell>
        </row>
        <row r="727">
          <cell r="C727" t="str">
            <v>S15ELEC041</v>
          </cell>
          <cell r="D727" t="str">
            <v>หน้ากาก 2 ช่อง (NATIONAL)</v>
          </cell>
          <cell r="E727">
            <v>16</v>
          </cell>
          <cell r="F727">
            <v>15</v>
          </cell>
        </row>
        <row r="728">
          <cell r="C728" t="str">
            <v>S15ELEC042</v>
          </cell>
          <cell r="D728" t="str">
            <v>หน้ากาก 3 ช่อง (NATIONAL)</v>
          </cell>
          <cell r="E728">
            <v>16</v>
          </cell>
          <cell r="F728">
            <v>15</v>
          </cell>
        </row>
        <row r="729">
          <cell r="C729" t="str">
            <v>S15ELEC045</v>
          </cell>
          <cell r="D729" t="str">
            <v>สาย TIEV 4C-0.68 SG.MM. (PD)</v>
          </cell>
          <cell r="E729">
            <v>3</v>
          </cell>
          <cell r="F729">
            <v>3.21</v>
          </cell>
        </row>
        <row r="730">
          <cell r="C730" t="str">
            <v>S15ELEC046</v>
          </cell>
          <cell r="D730" t="str">
            <v>สาย RG 6</v>
          </cell>
          <cell r="E730">
            <v>19</v>
          </cell>
          <cell r="F730">
            <v>15</v>
          </cell>
        </row>
        <row r="731">
          <cell r="C731" t="str">
            <v>S15ELEC047</v>
          </cell>
          <cell r="D731" t="str">
            <v>ตู้โหลดเซนเตอร์ 18 ช่อง 3p 125AT/125AF 1C&gt;18KA (SAFE-T-CUT)</v>
          </cell>
          <cell r="E731">
            <v>8150</v>
          </cell>
          <cell r="F731">
            <v>8720.5</v>
          </cell>
        </row>
        <row r="732">
          <cell r="C732" t="str">
            <v>S15ELEC048</v>
          </cell>
          <cell r="D732" t="str">
            <v>สาย THW  50 SQ.MM (FUHRER)</v>
          </cell>
          <cell r="E732">
            <v>88</v>
          </cell>
          <cell r="F732">
            <v>19.78</v>
          </cell>
        </row>
        <row r="733">
          <cell r="C733" t="str">
            <v>S15ELEC049</v>
          </cell>
          <cell r="D733" t="str">
            <v>สาย THW  10 SQ.MM (FUHRER)</v>
          </cell>
          <cell r="E733">
            <v>19</v>
          </cell>
          <cell r="F733">
            <v>18.71</v>
          </cell>
        </row>
        <row r="734">
          <cell r="C734" t="str">
            <v>S15ELEC050</v>
          </cell>
          <cell r="D734" t="str">
            <v>ท่อ PVC DIA. 1'' (ตราช้าง)</v>
          </cell>
          <cell r="E734">
            <v>84</v>
          </cell>
          <cell r="F734">
            <v>89.88000000000001</v>
          </cell>
        </row>
        <row r="735">
          <cell r="C735" t="str">
            <v>S15ELEC051</v>
          </cell>
          <cell r="D735" t="str">
            <v>ข้อต่อตรง PVC DIA. 1'' (ตราช้าง)</v>
          </cell>
          <cell r="E735">
            <v>5</v>
          </cell>
          <cell r="F735">
            <v>5.3500000000000005</v>
          </cell>
        </row>
        <row r="736">
          <cell r="C736" t="str">
            <v>S15ELEC052</v>
          </cell>
          <cell r="D736" t="str">
            <v>คอนเนคเตอร์ PVC DIA. 1'' (ตราช้าง)</v>
          </cell>
          <cell r="F736">
            <v>0</v>
          </cell>
        </row>
        <row r="737">
          <cell r="C737" t="str">
            <v>S15ELEC053</v>
          </cell>
          <cell r="D737" t="str">
            <v>คอนเนอเตอร์ PVC 3/4" (ตราช้าง)</v>
          </cell>
          <cell r="E737">
            <v>3</v>
          </cell>
          <cell r="F737">
            <v>3.1</v>
          </cell>
        </row>
        <row r="738">
          <cell r="C738" t="str">
            <v>S15ELEC054</v>
          </cell>
          <cell r="D738" t="str">
            <v>คอนเนคเตอร์ PVC DIA. 1/2'' (ตราช้าง)</v>
          </cell>
          <cell r="E738">
            <v>3</v>
          </cell>
          <cell r="F738">
            <v>2.7</v>
          </cell>
        </row>
        <row r="739">
          <cell r="C739" t="str">
            <v>S15ELEC055</v>
          </cell>
          <cell r="D739" t="str">
            <v>โคมไฟกิ่งภายใน BRACKET LAMP 52217/1W ขั้วE27 ห้อยผนัง PEMCO</v>
          </cell>
          <cell r="E739">
            <v>515</v>
          </cell>
          <cell r="F739">
            <v>515</v>
          </cell>
        </row>
        <row r="740">
          <cell r="C740" t="str">
            <v>S15ELEC057</v>
          </cell>
          <cell r="D740" t="str">
            <v>BELL(กระดิ่ง)220V</v>
          </cell>
          <cell r="E740">
            <v>210</v>
          </cell>
          <cell r="F740">
            <v>210</v>
          </cell>
        </row>
        <row r="741">
          <cell r="C741" t="str">
            <v>S15ELEC058</v>
          </cell>
          <cell r="D741" t="str">
            <v>สวิท 4 ทาง 10A 250V (NATIONAL)</v>
          </cell>
          <cell r="E741">
            <v>460</v>
          </cell>
          <cell r="F741">
            <v>492.20000000000005</v>
          </cell>
        </row>
        <row r="742">
          <cell r="C742" t="str">
            <v>S15ELEC059</v>
          </cell>
          <cell r="D742" t="str">
            <v>หน้ากาก 3 ช่องกันน้ำ (NATIONAL)</v>
          </cell>
          <cell r="E742">
            <v>266</v>
          </cell>
          <cell r="F742">
            <v>266</v>
          </cell>
        </row>
        <row r="743">
          <cell r="C743" t="str">
            <v>S15ELEC060</v>
          </cell>
          <cell r="D743" t="str">
            <v>หน้ากาก 1 ช่องกันน้ำ (NATIONAL)</v>
          </cell>
          <cell r="E743">
            <v>270</v>
          </cell>
          <cell r="F743">
            <v>288.90000000000003</v>
          </cell>
        </row>
        <row r="744">
          <cell r="C744" t="str">
            <v>S15ELEC061</v>
          </cell>
          <cell r="D744" t="str">
            <v>ตู้ PVC ต่อสายโทรศัพท์ พร้อมตัวต่อ 10 สาย 6''x8''x4''</v>
          </cell>
          <cell r="E744">
            <v>75</v>
          </cell>
          <cell r="F744">
            <v>80.25</v>
          </cell>
        </row>
        <row r="745">
          <cell r="C745" t="str">
            <v>S15ELEC062</v>
          </cell>
          <cell r="D745" t="str">
            <v>สาย 1x6 DAIRS-AP 0.65 SG.MM. (PD)</v>
          </cell>
          <cell r="F745">
            <v>0</v>
          </cell>
        </row>
        <row r="746">
          <cell r="C746" t="str">
            <v>S15ELEC063</v>
          </cell>
          <cell r="D746" t="str">
            <v>บ็อกเมนทีวี (6"x8"x4"PVC)</v>
          </cell>
          <cell r="E746">
            <v>75</v>
          </cell>
          <cell r="F746">
            <v>80.25</v>
          </cell>
        </row>
        <row r="747">
          <cell r="C747" t="str">
            <v>S15ELEC064</v>
          </cell>
          <cell r="D747" t="str">
            <v>สปิตเตอร์ 4 ทาง (NATIONAL)</v>
          </cell>
          <cell r="E747">
            <v>230</v>
          </cell>
          <cell r="F747">
            <v>246.10000000000002</v>
          </cell>
        </row>
        <row r="748">
          <cell r="C748" t="str">
            <v>S15ELEC065</v>
          </cell>
          <cell r="D748" t="str">
            <v>แท็ปออฟ 4 ทาง (NATIONAL)</v>
          </cell>
          <cell r="F748">
            <v>0</v>
          </cell>
        </row>
        <row r="749">
          <cell r="C749" t="str">
            <v>S15ELEC066</v>
          </cell>
          <cell r="D749" t="str">
            <v>บู้ทเตอร์ทีวี (6"x8"x4" PVC)  ตราช้าง</v>
          </cell>
          <cell r="F749">
            <v>0</v>
          </cell>
        </row>
        <row r="750">
          <cell r="C750" t="str">
            <v>S15ELEC068</v>
          </cell>
          <cell r="D750" t="str">
            <v>ตู้โหลดเซนเตอร์ 16 ช่อง 3P 100AT/100AF1C&gt;18KA (SAFE-T-CUT)</v>
          </cell>
          <cell r="E750">
            <v>5000</v>
          </cell>
          <cell r="F750">
            <v>5350</v>
          </cell>
        </row>
        <row r="751">
          <cell r="C751" t="str">
            <v>S15ELEC069</v>
          </cell>
          <cell r="D751" t="str">
            <v>ตู้โหลดเซนเตอร์ 16 ช่อง 3P 50AT/100AF1C&gt;18KA (SAFE-T-CUT)</v>
          </cell>
          <cell r="E751">
            <v>5000</v>
          </cell>
          <cell r="F751">
            <v>5350</v>
          </cell>
        </row>
        <row r="752">
          <cell r="C752" t="str">
            <v>S15ELEC070</v>
          </cell>
          <cell r="D752" t="str">
            <v>ท่อ PVC DIA. 1 1/2'' (ตราช้าง)</v>
          </cell>
          <cell r="E752">
            <v>196</v>
          </cell>
          <cell r="F752">
            <v>157</v>
          </cell>
        </row>
        <row r="753">
          <cell r="C753" t="str">
            <v>S15ELEC071</v>
          </cell>
          <cell r="D753" t="str">
            <v>ข้อต่อตรง PVC DIA. 1 1/2'' (ตราช้าง)</v>
          </cell>
          <cell r="E753">
            <v>11.7</v>
          </cell>
          <cell r="F753">
            <v>12.519</v>
          </cell>
        </row>
        <row r="754">
          <cell r="C754" t="str">
            <v>S15ELEC072</v>
          </cell>
          <cell r="D754" t="str">
            <v>ข้อโค้ง 90 องศา PVC DIA. 1 1/2'' (ตราช้าง)</v>
          </cell>
          <cell r="E754">
            <v>21.3</v>
          </cell>
          <cell r="F754">
            <v>22.791</v>
          </cell>
        </row>
        <row r="755">
          <cell r="C755" t="str">
            <v>S15ELEC073</v>
          </cell>
          <cell r="D755" t="str">
            <v>โคม FL DLP 2G-132P SANGMITR</v>
          </cell>
          <cell r="F755">
            <v>560</v>
          </cell>
        </row>
        <row r="756">
          <cell r="C756" t="str">
            <v>S15ELEC074</v>
          </cell>
          <cell r="D756" t="str">
            <v>ฟลูออเรสเซ้น LAMPTON 36W</v>
          </cell>
          <cell r="E756">
            <v>60</v>
          </cell>
          <cell r="F756">
            <v>230</v>
          </cell>
        </row>
        <row r="757">
          <cell r="C757" t="str">
            <v>S15ELEC075</v>
          </cell>
          <cell r="D757" t="str">
            <v>ตู้โหลดเซนเตอร์ 18 ช่อง 3P 100AT/100AF1C&gt;18KA (SQUARE D)</v>
          </cell>
          <cell r="E757">
            <v>5000</v>
          </cell>
          <cell r="F757">
            <v>5350</v>
          </cell>
        </row>
        <row r="758">
          <cell r="C758" t="str">
            <v>S15ELEC076</v>
          </cell>
          <cell r="D758" t="str">
            <v>ตู้โหลดเซนเตอร์ 18 ช่อง 3P 50AT/100AF1C&gt;18KA (SQUARE D)</v>
          </cell>
          <cell r="E758">
            <v>5000</v>
          </cell>
          <cell r="F758">
            <v>5350</v>
          </cell>
        </row>
        <row r="759">
          <cell r="C759" t="str">
            <v>S15ELEC077</v>
          </cell>
          <cell r="D759" t="str">
            <v>โคมช่อ CHANDELIER PAG 47-025/E14 HOMEX</v>
          </cell>
          <cell r="E759">
            <v>1500</v>
          </cell>
          <cell r="F759">
            <v>1700</v>
          </cell>
        </row>
        <row r="760">
          <cell r="C760" t="str">
            <v>S15ELEC078</v>
          </cell>
          <cell r="D760" t="str">
            <v xml:space="preserve">กราวหรอด DIA. 5/8' X8' </v>
          </cell>
          <cell r="E760">
            <v>110</v>
          </cell>
          <cell r="F760">
            <v>100</v>
          </cell>
        </row>
        <row r="761">
          <cell r="C761" t="str">
            <v>S15ELEC079</v>
          </cell>
          <cell r="D761" t="str">
            <v>พูลบ็อกซ์ 6''X8''X4'' PVC ตราช้าง</v>
          </cell>
          <cell r="E761">
            <v>140</v>
          </cell>
          <cell r="F761">
            <v>149.80000000000001</v>
          </cell>
        </row>
        <row r="762">
          <cell r="C762" t="str">
            <v>S15ELEC080</v>
          </cell>
          <cell r="D762" t="str">
            <v>แคล้มบาง 2 ขา 3/4"</v>
          </cell>
          <cell r="F762">
            <v>0</v>
          </cell>
        </row>
        <row r="763">
          <cell r="C763" t="str">
            <v>S15ELEC081</v>
          </cell>
          <cell r="D763" t="str">
            <v>แคล้มบาง 2 ขา 1"</v>
          </cell>
          <cell r="F763">
            <v>0</v>
          </cell>
        </row>
        <row r="764">
          <cell r="C764" t="str">
            <v>S15ELEC082</v>
          </cell>
          <cell r="D764" t="str">
            <v>แคล้มบาง 2 ขา 1 1/4"</v>
          </cell>
          <cell r="F764">
            <v>0</v>
          </cell>
        </row>
        <row r="765">
          <cell r="C765" t="str">
            <v>S15ELEC083</v>
          </cell>
          <cell r="D765" t="str">
            <v>แคล้มบาง 2 ขา 1 1/2"</v>
          </cell>
          <cell r="F765">
            <v>0</v>
          </cell>
        </row>
        <row r="766">
          <cell r="C766" t="str">
            <v>S15ELEC084</v>
          </cell>
          <cell r="D766" t="str">
            <v>แคล้มบาง 2 ขา 2"</v>
          </cell>
          <cell r="F766">
            <v>0</v>
          </cell>
        </row>
        <row r="767">
          <cell r="C767" t="str">
            <v>S15ELEC085</v>
          </cell>
          <cell r="D767" t="str">
            <v>แคล้มบาง 2 ขา 2 1/2"</v>
          </cell>
          <cell r="F767">
            <v>0</v>
          </cell>
        </row>
        <row r="768">
          <cell r="C768" t="str">
            <v>S15ELEC086</v>
          </cell>
          <cell r="D768" t="str">
            <v>บุชชิ่ง ขนาด1/2"</v>
          </cell>
          <cell r="F768">
            <v>0</v>
          </cell>
        </row>
        <row r="769">
          <cell r="C769" t="str">
            <v>S15ELEC087</v>
          </cell>
          <cell r="D769" t="str">
            <v>บุชชิ่ง ขนาด3/4"</v>
          </cell>
          <cell r="F769">
            <v>0</v>
          </cell>
        </row>
        <row r="770">
          <cell r="C770" t="str">
            <v>S15ELEC089</v>
          </cell>
          <cell r="D770" t="str">
            <v>คอนเนคเตอร์ EMT 1 1/4''</v>
          </cell>
          <cell r="E770">
            <v>4</v>
          </cell>
          <cell r="F770">
            <v>4.28</v>
          </cell>
        </row>
        <row r="771">
          <cell r="C771" t="str">
            <v>S15ELEC090</v>
          </cell>
          <cell r="D771" t="str">
            <v>PULL BOX เหล็กขนาด 12"x12"x6"</v>
          </cell>
          <cell r="E771">
            <v>200</v>
          </cell>
          <cell r="F771">
            <v>140</v>
          </cell>
        </row>
        <row r="772">
          <cell r="C772" t="str">
            <v>S15ELEC124</v>
          </cell>
          <cell r="D772" t="str">
            <v>แฮนดี้บอกซ์ ขนาด 2" x 4" x1 1/4"</v>
          </cell>
          <cell r="E772">
            <v>5</v>
          </cell>
          <cell r="F772">
            <v>4.5</v>
          </cell>
        </row>
        <row r="773">
          <cell r="C773" t="str">
            <v>S15MISC001</v>
          </cell>
          <cell r="D773" t="str">
            <v>แผ่นพลาสติกปูพื้น ขนาด 1.37m x 90.00 m x 0.05 mm</v>
          </cell>
          <cell r="E773">
            <v>250</v>
          </cell>
          <cell r="F773">
            <v>282.14</v>
          </cell>
        </row>
        <row r="774">
          <cell r="C774" t="str">
            <v>S15MISC002</v>
          </cell>
          <cell r="D774" t="str">
            <v>ผ้าดิบ 9 ปอนด์ 0.9 x 36 m.</v>
          </cell>
          <cell r="E774">
            <v>600</v>
          </cell>
          <cell r="F774">
            <v>600</v>
          </cell>
        </row>
        <row r="775">
          <cell r="C775" t="str">
            <v>S15MISC004</v>
          </cell>
          <cell r="D775" t="str">
            <v>กระเบื้องแผ่นเรียบ 1.2 m. X 2.4 m. X 6 mm.</v>
          </cell>
          <cell r="E775">
            <v>200</v>
          </cell>
          <cell r="F775">
            <v>214</v>
          </cell>
        </row>
        <row r="776">
          <cell r="C776" t="str">
            <v>S15PIPE003</v>
          </cell>
          <cell r="D776" t="str">
            <v>ท่อ PVC DIA. 6/8" x 4 m.</v>
          </cell>
          <cell r="E776">
            <v>55</v>
          </cell>
          <cell r="F776">
            <v>45</v>
          </cell>
        </row>
        <row r="777">
          <cell r="C777" t="str">
            <v>S15PIPE007</v>
          </cell>
          <cell r="D777" t="str">
            <v xml:space="preserve">ข้องอ 90 องศา สีเหลือง DIA. 1 1/2" </v>
          </cell>
          <cell r="E777">
            <v>11.75</v>
          </cell>
          <cell r="F777">
            <v>5</v>
          </cell>
        </row>
        <row r="778">
          <cell r="C778" t="str">
            <v>S15PIPE008</v>
          </cell>
          <cell r="D778" t="str">
            <v>ท่อ PVC สีเหลือง DIA 1 1/2" x 4 m. CLASS 5</v>
          </cell>
          <cell r="E778">
            <v>196</v>
          </cell>
          <cell r="F778">
            <v>157</v>
          </cell>
        </row>
        <row r="779">
          <cell r="C779" t="str">
            <v>S15PIPE009</v>
          </cell>
          <cell r="D779" t="str">
            <v>ท่อ PVC สีเหลือง DIA. 1" ยาว 4 ม.(ตราช้าง)</v>
          </cell>
          <cell r="E779">
            <v>104</v>
          </cell>
          <cell r="F779">
            <v>83</v>
          </cell>
        </row>
        <row r="780">
          <cell r="C780" t="str">
            <v>S15WATR001</v>
          </cell>
          <cell r="D780" t="str">
            <v>ท่อ CW DIA 1/2 '' PVC CLASS 8.5</v>
          </cell>
          <cell r="E780">
            <v>38</v>
          </cell>
          <cell r="F780">
            <v>40.660000000000004</v>
          </cell>
        </row>
        <row r="781">
          <cell r="C781" t="str">
            <v>S15WATR002</v>
          </cell>
          <cell r="D781" t="str">
            <v>ท่อ CW DIA 3/4 '' PVC CLASS 8.5</v>
          </cell>
          <cell r="E781">
            <v>46</v>
          </cell>
          <cell r="F781">
            <v>42.4</v>
          </cell>
        </row>
        <row r="782">
          <cell r="C782" t="str">
            <v>S15WATR003</v>
          </cell>
          <cell r="D782" t="str">
            <v>ท่อ CW DIA 1 '' PVC CLASS 8.5</v>
          </cell>
          <cell r="E782">
            <v>72</v>
          </cell>
          <cell r="F782">
            <v>77.040000000000006</v>
          </cell>
        </row>
        <row r="783">
          <cell r="C783" t="str">
            <v>S15WATR004</v>
          </cell>
          <cell r="D783" t="str">
            <v>ข้อต่อตรง DIA 3/4'' PVC  CLASS 13.5</v>
          </cell>
          <cell r="E783">
            <v>4</v>
          </cell>
          <cell r="F783">
            <v>2.4</v>
          </cell>
        </row>
        <row r="784">
          <cell r="C784" t="str">
            <v>S15WATR005</v>
          </cell>
          <cell r="D784" t="str">
            <v>ข้องอ  90 องศา DIA 1/2''PVC  CLASS 13.5</v>
          </cell>
          <cell r="E784">
            <v>3.5</v>
          </cell>
          <cell r="F784">
            <v>2.27</v>
          </cell>
        </row>
        <row r="785">
          <cell r="C785" t="str">
            <v>S15WATR006</v>
          </cell>
          <cell r="D785" t="str">
            <v>ข้องอ  90 องศา DIA 1''PVC  CLASS 13.5</v>
          </cell>
          <cell r="E785">
            <v>8.5</v>
          </cell>
          <cell r="F785">
            <v>5.52</v>
          </cell>
        </row>
        <row r="786">
          <cell r="C786" t="str">
            <v>S15WATR007</v>
          </cell>
          <cell r="D786" t="str">
            <v>ข้องอ 90 องศา DIA 1 1/4" PVC CLASS 13.5</v>
          </cell>
          <cell r="E786">
            <v>14.6</v>
          </cell>
          <cell r="F786">
            <v>15.622</v>
          </cell>
        </row>
        <row r="787">
          <cell r="C787" t="str">
            <v>S15WATR008</v>
          </cell>
          <cell r="D787" t="str">
            <v>ข้อต่อตรงเกลียวใน DIA 1/2'' CLASS 13.5</v>
          </cell>
          <cell r="E787">
            <v>3</v>
          </cell>
          <cell r="F787">
            <v>3.21</v>
          </cell>
        </row>
        <row r="788">
          <cell r="C788" t="str">
            <v>S15WATR009</v>
          </cell>
          <cell r="D788" t="str">
            <v>ข้อลด 1/2''ออก 3/4'' PVC CLASS 13.5</v>
          </cell>
          <cell r="E788">
            <v>3.7</v>
          </cell>
          <cell r="F788">
            <v>2.4</v>
          </cell>
        </row>
        <row r="789">
          <cell r="C789" t="str">
            <v>S15WATR010</v>
          </cell>
          <cell r="D789" t="str">
            <v>ข้อลด 1/2''ออก 1'' PVC CLASS 13.5</v>
          </cell>
          <cell r="E789">
            <v>6.1</v>
          </cell>
          <cell r="F789">
            <v>4</v>
          </cell>
        </row>
        <row r="790">
          <cell r="C790" t="str">
            <v>S15WATR011</v>
          </cell>
          <cell r="D790" t="str">
            <v>ข้อลด 1 1/4''ออก 2'' PVC CLASS 13.5</v>
          </cell>
          <cell r="E790">
            <v>18.5</v>
          </cell>
          <cell r="F790">
            <v>19.795000000000002</v>
          </cell>
        </row>
        <row r="791">
          <cell r="C791" t="str">
            <v>S15WATR012</v>
          </cell>
          <cell r="D791" t="str">
            <v>ข้อลด 1" ออก 3/4" CLASS 13.5</v>
          </cell>
          <cell r="E791">
            <v>6.1</v>
          </cell>
          <cell r="F791">
            <v>4</v>
          </cell>
        </row>
        <row r="792">
          <cell r="C792" t="str">
            <v>S15WATR013</v>
          </cell>
          <cell r="D792" t="str">
            <v>สามทาง T DIA 1/2'' PVC CLASS 13.5</v>
          </cell>
          <cell r="E792">
            <v>4.8</v>
          </cell>
          <cell r="F792">
            <v>3.12</v>
          </cell>
        </row>
        <row r="793">
          <cell r="C793" t="str">
            <v>S15WATR014</v>
          </cell>
          <cell r="D793" t="str">
            <v>สามทาง T DIA 1" PVC CLASS 13.5</v>
          </cell>
          <cell r="E793">
            <v>12.5</v>
          </cell>
          <cell r="F793">
            <v>8.1199999999999992</v>
          </cell>
        </row>
        <row r="794">
          <cell r="C794" t="str">
            <v>S15WATR015</v>
          </cell>
          <cell r="D794" t="str">
            <v>ท่อ PVC สีฟ้าตราช้าง DIA 4''  CLASS 5</v>
          </cell>
          <cell r="E794">
            <v>425</v>
          </cell>
          <cell r="F794">
            <v>340</v>
          </cell>
        </row>
        <row r="795">
          <cell r="C795" t="str">
            <v>S15WATR017</v>
          </cell>
          <cell r="D795" t="str">
            <v>ข้อต่อตรง DIA 4'' PVC  CLASS 5</v>
          </cell>
          <cell r="E795">
            <v>90</v>
          </cell>
          <cell r="F795">
            <v>21.25</v>
          </cell>
        </row>
        <row r="796">
          <cell r="C796" t="str">
            <v>S15WATR018</v>
          </cell>
          <cell r="D796" t="str">
            <v>ข้องอ 90 องศา DIA 4'' PVC CLASS 5</v>
          </cell>
          <cell r="E796">
            <v>160</v>
          </cell>
          <cell r="F796">
            <v>46</v>
          </cell>
        </row>
        <row r="797">
          <cell r="C797" t="str">
            <v>S15WATR019</v>
          </cell>
          <cell r="D797" t="str">
            <v>สามทาง Y DIA 4'' PVC CLASS 5</v>
          </cell>
          <cell r="E797">
            <v>161</v>
          </cell>
          <cell r="F797">
            <v>105</v>
          </cell>
        </row>
        <row r="798">
          <cell r="C798" t="str">
            <v>S15WATR020</v>
          </cell>
          <cell r="D798" t="str">
            <v>ข้อลด 1 1/4''ลง 2''PVC CLASS 5</v>
          </cell>
          <cell r="E798">
            <v>11.2</v>
          </cell>
          <cell r="F798">
            <v>7.28</v>
          </cell>
        </row>
        <row r="799">
          <cell r="C799" t="str">
            <v>S15WATR021</v>
          </cell>
          <cell r="D799" t="str">
            <v>CO DIA 2''PVC</v>
          </cell>
          <cell r="E799">
            <v>80</v>
          </cell>
          <cell r="F799">
            <v>70</v>
          </cell>
        </row>
        <row r="800">
          <cell r="C800" t="str">
            <v>S15WATR022</v>
          </cell>
          <cell r="D800" t="str">
            <v>ท่อ PVC สีฟ้าตราช้าง DIA 2''  CLASS 5</v>
          </cell>
          <cell r="E800">
            <v>120</v>
          </cell>
          <cell r="F800">
            <v>96</v>
          </cell>
        </row>
        <row r="801">
          <cell r="C801" t="str">
            <v>S15WATR023</v>
          </cell>
          <cell r="D801" t="str">
            <v>ท่อ W DIA 3'' PVC CLASS 5</v>
          </cell>
          <cell r="E801">
            <v>265</v>
          </cell>
          <cell r="F801">
            <v>212</v>
          </cell>
        </row>
        <row r="802">
          <cell r="C802" t="str">
            <v>S15WATR024</v>
          </cell>
          <cell r="D802" t="str">
            <v>สามทาง Y DIA 2'' PVC CLASS 5</v>
          </cell>
          <cell r="E802">
            <v>34.4</v>
          </cell>
          <cell r="F802">
            <v>22.36</v>
          </cell>
        </row>
        <row r="803">
          <cell r="C803" t="str">
            <v>S15WATR025</v>
          </cell>
          <cell r="D803" t="str">
            <v>สามทาง Y DIA 3'' PVC CLASS 5</v>
          </cell>
          <cell r="E803">
            <v>83.6</v>
          </cell>
          <cell r="F803">
            <v>54.34</v>
          </cell>
        </row>
        <row r="804">
          <cell r="C804" t="str">
            <v>S15WATR026</v>
          </cell>
          <cell r="D804" t="str">
            <v>ข้องอ 90 องศา DIA 2'' PVC CLASS 5</v>
          </cell>
          <cell r="E804">
            <v>11.6</v>
          </cell>
          <cell r="F804">
            <v>7.54</v>
          </cell>
        </row>
        <row r="805">
          <cell r="C805" t="str">
            <v>S15WATR027</v>
          </cell>
          <cell r="D805" t="str">
            <v>ข้อต่อตรง DIA 2'' PVC  CLASS 5</v>
          </cell>
          <cell r="E805">
            <v>7.5</v>
          </cell>
          <cell r="F805">
            <v>5</v>
          </cell>
        </row>
        <row r="806">
          <cell r="C806" t="str">
            <v>S15WATR028</v>
          </cell>
          <cell r="D806" t="str">
            <v xml:space="preserve">GV DIA 1/2''  </v>
          </cell>
          <cell r="E806">
            <v>60</v>
          </cell>
          <cell r="F806">
            <v>48</v>
          </cell>
        </row>
        <row r="807">
          <cell r="C807" t="str">
            <v>S15WATR029</v>
          </cell>
          <cell r="D807" t="str">
            <v xml:space="preserve">GV DIA 1'' </v>
          </cell>
          <cell r="E807">
            <v>135</v>
          </cell>
          <cell r="F807">
            <v>144.45000000000002</v>
          </cell>
        </row>
        <row r="808">
          <cell r="C808" t="str">
            <v>S15WATR030</v>
          </cell>
          <cell r="D808" t="str">
            <v xml:space="preserve">GV DIA 3/4'' </v>
          </cell>
          <cell r="E808">
            <v>80</v>
          </cell>
          <cell r="F808">
            <v>65</v>
          </cell>
        </row>
        <row r="809">
          <cell r="C809" t="str">
            <v>S15WATR031</v>
          </cell>
          <cell r="D809" t="str">
            <v xml:space="preserve">FD DIA 2 '' </v>
          </cell>
          <cell r="E809">
            <v>80</v>
          </cell>
          <cell r="F809">
            <v>65</v>
          </cell>
        </row>
        <row r="810">
          <cell r="C810" t="str">
            <v>S15WATR034</v>
          </cell>
          <cell r="D810" t="str">
            <v>สามทาง T DIA 1 1/4'' PVC CLASS 5</v>
          </cell>
          <cell r="E810">
            <v>7.8</v>
          </cell>
          <cell r="F810">
            <v>5</v>
          </cell>
        </row>
        <row r="811">
          <cell r="C811" t="str">
            <v>S15WATR035</v>
          </cell>
          <cell r="D811" t="str">
            <v>ข้อต่อตรง DIA 1'' PVC  CLASS 13.5</v>
          </cell>
          <cell r="E811">
            <v>6.1</v>
          </cell>
          <cell r="F811">
            <v>6.5270000000000001</v>
          </cell>
        </row>
        <row r="812">
          <cell r="C812" t="str">
            <v>S15WATR038</v>
          </cell>
          <cell r="D812" t="str">
            <v>สามทาง T DIA 2'' PVC CLASS 8.5 5</v>
          </cell>
          <cell r="E812">
            <v>15.5</v>
          </cell>
          <cell r="F812">
            <v>10</v>
          </cell>
        </row>
        <row r="813">
          <cell r="C813" t="str">
            <v>S15WATR039</v>
          </cell>
          <cell r="D813" t="str">
            <v>ข้อลด 3''ลง 2'' PVC CLASS 5</v>
          </cell>
          <cell r="E813">
            <v>25.2</v>
          </cell>
          <cell r="F813">
            <v>16.38</v>
          </cell>
        </row>
        <row r="814">
          <cell r="C814" t="str">
            <v>S15WATR041</v>
          </cell>
          <cell r="D814" t="str">
            <v>ข้อต่อตรงเกลียวในเป็นทองเหลือง  1/2"</v>
          </cell>
          <cell r="E814">
            <v>17</v>
          </cell>
          <cell r="F814">
            <v>16</v>
          </cell>
        </row>
        <row r="815">
          <cell r="C815" t="str">
            <v>S15WATR042</v>
          </cell>
          <cell r="D815" t="str">
            <v>ข้องอ 90 องศา DIA 3/4'' PVC CLASS13.5</v>
          </cell>
          <cell r="E815">
            <v>5</v>
          </cell>
          <cell r="F815">
            <v>3</v>
          </cell>
        </row>
        <row r="816">
          <cell r="C816" t="str">
            <v>S15WATR043</v>
          </cell>
          <cell r="D816" t="str">
            <v>ข้อต่อตรง DIA 1/2'' PVC  CLASS 13.5</v>
          </cell>
          <cell r="E816">
            <v>2.9</v>
          </cell>
          <cell r="F816">
            <v>3.1030000000000002</v>
          </cell>
        </row>
        <row r="817">
          <cell r="C817" t="str">
            <v>S15WATR046</v>
          </cell>
          <cell r="D817" t="str">
            <v>ข้องอ 90 องศา DIA 3'' PVC CLASS 5</v>
          </cell>
          <cell r="E817">
            <v>34.9</v>
          </cell>
          <cell r="F817">
            <v>23</v>
          </cell>
        </row>
        <row r="818">
          <cell r="C818" t="str">
            <v>S15WATR048</v>
          </cell>
          <cell r="D818" t="str">
            <v>สามทาง T DIA 4'' PVC CLASS 5</v>
          </cell>
          <cell r="E818">
            <v>92.9</v>
          </cell>
          <cell r="F818">
            <v>61</v>
          </cell>
        </row>
        <row r="819">
          <cell r="C819" t="str">
            <v>S15WATR049</v>
          </cell>
          <cell r="D819" t="str">
            <v>ข้อต่อตรง DIA 3'' PVC  CLASS 5</v>
          </cell>
          <cell r="E819">
            <v>23.1</v>
          </cell>
          <cell r="F819">
            <v>15</v>
          </cell>
        </row>
        <row r="820">
          <cell r="C820" t="str">
            <v>S15WATR050</v>
          </cell>
          <cell r="D820" t="str">
            <v>ข้อลด 4" ออก 3"  PVC CLASS 5</v>
          </cell>
          <cell r="E820">
            <v>48.3</v>
          </cell>
          <cell r="F820">
            <v>51.680999999999997</v>
          </cell>
        </row>
        <row r="821">
          <cell r="C821" t="str">
            <v>S15WATR051</v>
          </cell>
          <cell r="D821" t="str">
            <v>ท่อ V DIA 2'' PVC CLASS 5</v>
          </cell>
          <cell r="E821">
            <v>140</v>
          </cell>
          <cell r="F821">
            <v>64</v>
          </cell>
        </row>
        <row r="822">
          <cell r="C822" t="str">
            <v>S15WATR054</v>
          </cell>
          <cell r="D822" t="str">
            <v>ข้อต่อตรง DIA 1'' PVC  CLASS 13.5</v>
          </cell>
          <cell r="E822">
            <v>10</v>
          </cell>
          <cell r="F822">
            <v>4</v>
          </cell>
        </row>
        <row r="823">
          <cell r="C823" t="str">
            <v>S15WATR055</v>
          </cell>
          <cell r="D823" t="str">
            <v>ข้อลด 4''ลง 2'' PVC CLASS 5</v>
          </cell>
          <cell r="E823">
            <v>40.4</v>
          </cell>
          <cell r="F823">
            <v>26.26</v>
          </cell>
        </row>
        <row r="824">
          <cell r="C824" t="str">
            <v>S15WATR056</v>
          </cell>
          <cell r="D824" t="str">
            <v>CO DIA 3''PVC</v>
          </cell>
          <cell r="F824">
            <v>0</v>
          </cell>
        </row>
        <row r="825">
          <cell r="C825" t="str">
            <v>S15WATR057</v>
          </cell>
          <cell r="D825" t="str">
            <v>ท่อ V DIA 1 1/4'' PVC CLASS 5</v>
          </cell>
          <cell r="F825">
            <v>0</v>
          </cell>
        </row>
        <row r="826">
          <cell r="C826" t="str">
            <v>S15WATR060</v>
          </cell>
          <cell r="D826" t="str">
            <v>สามทาง T 1 1/4'' DIA  PVC CLASS 13.5</v>
          </cell>
          <cell r="F826">
            <v>0</v>
          </cell>
        </row>
        <row r="827">
          <cell r="C827" t="str">
            <v>SANDBED</v>
          </cell>
          <cell r="D827" t="str">
            <v>ค่าแรงลงทราย ปรับทราย</v>
          </cell>
          <cell r="F827">
            <v>0</v>
          </cell>
        </row>
        <row r="828">
          <cell r="D828" t="str">
            <v>BV DIA 1/2"</v>
          </cell>
          <cell r="F828">
            <v>0</v>
          </cell>
        </row>
        <row r="829">
          <cell r="D829" t="str">
            <v>C/O 4"</v>
          </cell>
          <cell r="E829">
            <v>140</v>
          </cell>
          <cell r="F829">
            <v>149.80000000000001</v>
          </cell>
        </row>
        <row r="830">
          <cell r="D830" t="str">
            <v>C/O 4"</v>
          </cell>
          <cell r="E830">
            <v>140</v>
          </cell>
          <cell r="F830">
            <v>149.80000000000001</v>
          </cell>
        </row>
        <row r="831">
          <cell r="D831" t="str">
            <v>CB  SUB 16-32 A1P 5 KA</v>
          </cell>
          <cell r="E831">
            <v>85</v>
          </cell>
          <cell r="F831">
            <v>90.95</v>
          </cell>
        </row>
        <row r="832">
          <cell r="D832" t="str">
            <v>CB Main 100 A2P 10 KA</v>
          </cell>
          <cell r="F832">
            <v>0</v>
          </cell>
        </row>
        <row r="833">
          <cell r="D833" t="str">
            <v xml:space="preserve">CO DIA 2'' </v>
          </cell>
          <cell r="F833">
            <v>0</v>
          </cell>
        </row>
        <row r="834">
          <cell r="D834" t="str">
            <v xml:space="preserve">CO DIA 4'' </v>
          </cell>
          <cell r="E834">
            <v>140</v>
          </cell>
          <cell r="F834">
            <v>149.80000000000001</v>
          </cell>
        </row>
        <row r="835">
          <cell r="D835" t="str">
            <v>Conector Flex 1/2"</v>
          </cell>
          <cell r="E835">
            <v>3.6</v>
          </cell>
          <cell r="F835">
            <v>3.8520000000000003</v>
          </cell>
        </row>
        <row r="836">
          <cell r="D836" t="str">
            <v>Conector Flex 3/4"</v>
          </cell>
          <cell r="E836">
            <v>10</v>
          </cell>
          <cell r="F836">
            <v>10.700000000000001</v>
          </cell>
        </row>
        <row r="837">
          <cell r="D837" t="str">
            <v>Conector PVC 3/4"</v>
          </cell>
          <cell r="E837">
            <v>3.5</v>
          </cell>
          <cell r="F837">
            <v>3.7450000000000001</v>
          </cell>
        </row>
        <row r="838">
          <cell r="D838" t="str">
            <v>CW งอ 90 1 1/2" CLASS 8.5</v>
          </cell>
          <cell r="E838">
            <v>6</v>
          </cell>
          <cell r="F838">
            <v>6.42</v>
          </cell>
        </row>
        <row r="839">
          <cell r="D839" t="str">
            <v>CW งอ 90 องศา 3/4" &gt; 1/2"  CLASS 8.5</v>
          </cell>
          <cell r="E839">
            <v>8</v>
          </cell>
          <cell r="F839">
            <v>8.56</v>
          </cell>
        </row>
        <row r="840">
          <cell r="D840" t="str">
            <v>CW งอ 90 องศา 4/8" เกลียวในทองเหลือง 1/2" CLASS 8.5</v>
          </cell>
          <cell r="F840">
            <v>0</v>
          </cell>
        </row>
        <row r="841">
          <cell r="D841" t="str">
            <v xml:space="preserve">FD DIA 2 '' </v>
          </cell>
          <cell r="E841">
            <v>68</v>
          </cell>
          <cell r="F841">
            <v>72.760000000000005</v>
          </cell>
        </row>
        <row r="842">
          <cell r="D842" t="str">
            <v>Flat Bar หนา 2.3 mm. (18.06 kg/m2)</v>
          </cell>
          <cell r="E842">
            <v>433</v>
          </cell>
          <cell r="F842">
            <v>463.31</v>
          </cell>
        </row>
        <row r="843">
          <cell r="D843" t="str">
            <v>Flat Bar หนา 3.2 mm. (25.93 kg/m2)</v>
          </cell>
          <cell r="E843">
            <v>648</v>
          </cell>
          <cell r="F843">
            <v>693.36</v>
          </cell>
        </row>
        <row r="844">
          <cell r="D844" t="str">
            <v>Flat Bar หนา 3.2 mm. (25.93 kg/m2)</v>
          </cell>
          <cell r="E844">
            <v>648</v>
          </cell>
          <cell r="F844">
            <v>693.36</v>
          </cell>
        </row>
        <row r="845">
          <cell r="D845" t="str">
            <v>Flat Bar หนา 7.0 mm. (56.72 kg/m2)</v>
          </cell>
          <cell r="E845">
            <v>1418</v>
          </cell>
          <cell r="F845">
            <v>1517.26</v>
          </cell>
        </row>
        <row r="846">
          <cell r="D846" t="str">
            <v>FLEX (ท่ออ่อนเหล็ก) DIA. 1/2"</v>
          </cell>
          <cell r="E846">
            <v>7</v>
          </cell>
          <cell r="F846">
            <v>7.49</v>
          </cell>
        </row>
        <row r="847">
          <cell r="D847" t="str">
            <v>FLEX (ท่ออ่อนเหล็ก) DIA. 3/4"</v>
          </cell>
          <cell r="E847">
            <v>9</v>
          </cell>
          <cell r="F847">
            <v>9.6300000000000008</v>
          </cell>
        </row>
        <row r="848">
          <cell r="D848" t="str">
            <v>GV DIA 1''  CLASS M</v>
          </cell>
          <cell r="E848">
            <v>90</v>
          </cell>
          <cell r="F848">
            <v>96.300000000000011</v>
          </cell>
        </row>
        <row r="849">
          <cell r="D849" t="str">
            <v>GV DIA 1/2''  CLASS M</v>
          </cell>
          <cell r="E849">
            <v>85</v>
          </cell>
          <cell r="F849">
            <v>90.95</v>
          </cell>
        </row>
        <row r="850">
          <cell r="D850" t="str">
            <v>GV DIA 3/4''  CLASS M</v>
          </cell>
          <cell r="E850">
            <v>75</v>
          </cell>
          <cell r="F850">
            <v>80.25</v>
          </cell>
        </row>
        <row r="851">
          <cell r="D851" t="str">
            <v>Hanger 2"</v>
          </cell>
          <cell r="F851">
            <v>0</v>
          </cell>
        </row>
        <row r="852">
          <cell r="D852" t="str">
            <v>Hanger 4"</v>
          </cell>
          <cell r="F852">
            <v>0</v>
          </cell>
        </row>
        <row r="853">
          <cell r="D853" t="str">
            <v>Telephone Outlet</v>
          </cell>
          <cell r="F853">
            <v>0</v>
          </cell>
        </row>
        <row r="854">
          <cell r="D854" t="str">
            <v>TV Outlet</v>
          </cell>
          <cell r="E854">
            <v>118</v>
          </cell>
          <cell r="F854">
            <v>126.26</v>
          </cell>
        </row>
        <row r="855">
          <cell r="D855" t="str">
            <v>เกลียวตลอดขนาด DIA 2 1/2  หุน</v>
          </cell>
          <cell r="F855">
            <v>0</v>
          </cell>
        </row>
        <row r="856">
          <cell r="D856" t="str">
            <v>เกลียวปล่อย DIA 1"</v>
          </cell>
          <cell r="F856">
            <v>0</v>
          </cell>
        </row>
        <row r="857">
          <cell r="D857" t="str">
            <v>เทปพันเกลียว</v>
          </cell>
          <cell r="E857">
            <v>9</v>
          </cell>
          <cell r="F857">
            <v>9.6300000000000008</v>
          </cell>
        </row>
      </sheetData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ize Your Purchase Order"/>
      <sheetName val="Purchase Order"/>
      <sheetName val="AutoOpen Stub Data"/>
      <sheetName val="Macros"/>
      <sheetName val="ATW"/>
      <sheetName val="Lock"/>
      <sheetName val="Intl Data Table"/>
      <sheetName val="TemplateInformation"/>
      <sheetName val="SAN REDUCED 1"/>
      <sheetName val="DETAIL "/>
      <sheetName val="List"/>
      <sheetName val="Boq(1)"/>
      <sheetName val="外気負荷"/>
      <sheetName val="ค่าวัสดุ"/>
      <sheetName val="SH-D"/>
      <sheetName val="SH-G"/>
      <sheetName val="C-LOAD(L-FACTORY.)"/>
      <sheetName val="SH-E"/>
      <sheetName val="SH-C"/>
      <sheetName val="summary"/>
      <sheetName val="covere"/>
      <sheetName val="Purchase Order1"/>
      <sheetName val="Defect Report(M&amp;E)"/>
      <sheetName val="Data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EXF"/>
      <sheetName val="040"/>
      <sheetName val="060"/>
      <sheetName val="Code"/>
      <sheetName val="Price per model"/>
      <sheetName val="建築代価"/>
      <sheetName val="Intro"/>
      <sheetName val="Template"/>
      <sheetName val="Variables"/>
      <sheetName val="SILICATE"/>
      <sheetName val="Currency Rate"/>
      <sheetName val="BQ-E20-02(Rp)"/>
      <sheetName val="Customize_Your_Purchase_Order"/>
      <sheetName val="Purchase_Order"/>
      <sheetName val="AutoOpen_Stub_Data"/>
      <sheetName val="Intl_Data_Table"/>
      <sheetName val="DETAIL_"/>
      <sheetName val="SAN_REDUCED_1"/>
      <sheetName val="C-LOAD(L-FACTORY_)"/>
      <sheetName val="Purchase_Order1"/>
      <sheetName val="Customize_Your_Purchase_Order1"/>
      <sheetName val="Purchase_Order2"/>
      <sheetName val="AutoOpen_Stub_Data1"/>
      <sheetName val="Intl_Data_Table1"/>
      <sheetName val="DETAIL_1"/>
      <sheetName val="SAN_REDUCED_11"/>
      <sheetName val="C-LOAD(L-FACTORY_)1"/>
      <sheetName val="Purchase_Order11"/>
      <sheetName val="TABLES"/>
      <sheetName val="SOURCE"/>
      <sheetName val="Report"/>
      <sheetName val="Customize_Your_Purchase_Order2"/>
      <sheetName val="AutoOpen_Stub_Data2"/>
      <sheetName val="Intl_Data_Table2"/>
      <sheetName val="SAN_REDUCED_12"/>
      <sheetName val="DETAIL_2"/>
      <sheetName val="C-LOAD(L-FACTORY_)2"/>
      <sheetName val="Total"/>
      <sheetName val="Book 1 Summary"/>
      <sheetName val="Invoice"/>
      <sheetName val="Sheet1 (3)"/>
      <sheetName val="APR'09"/>
      <sheetName val="COMMOND LINE"/>
      <sheetName val="sort2"/>
      <sheetName val="COMP"/>
      <sheetName val="cu_ผลรวม"/>
      <sheetName val="cu_รหัส"/>
      <sheetName val="cu_วัน"/>
      <sheetName val="COA-17"/>
      <sheetName val="C-18"/>
      <sheetName val="AC"/>
      <sheetName val="일위대가목차"/>
      <sheetName val="Sheet1"/>
      <sheetName val="Main Summary"/>
      <sheetName val="2.1.1Take pipe"/>
      <sheetName val="2.1.2Take Copper Pipe"/>
      <sheetName val="PO(Thai)"/>
      <sheetName val="Order List"/>
      <sheetName val="CUSTOMER"/>
      <sheetName val="Master"/>
      <sheetName val="CrEstimate"/>
      <sheetName val="Nov.'02"/>
      <sheetName val="Comsole"/>
      <sheetName val="797T輸入部品リスト"/>
      <sheetName val="data list"/>
      <sheetName val="Plate_Bumper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Annual Production"/>
      <sheetName val="POV"/>
      <sheetName val="ＴＦ関連Ｐｒｊ日程表"/>
      <sheetName val="FC"/>
      <sheetName val="Construction cost assumption"/>
      <sheetName val="JLL Assumption"/>
      <sheetName val="Retail Program&amp;Rev Assumption"/>
      <sheetName val="CST1198"/>
      <sheetName val="Purchases-April"/>
      <sheetName val="JobOrder"/>
      <sheetName val="ค่าโทรศัพท์ค้างจ่าย"/>
      <sheetName val="AutoOpen_Stub_Data4"/>
      <sheetName val="Customize_Your_Purchase_Order5"/>
      <sheetName val="Purchase_Order5"/>
      <sheetName val="Intl_Data_Table4"/>
      <sheetName val="DETAIL_4"/>
      <sheetName val="Customize_Your_Purchase_Order3"/>
      <sheetName val="Purchase_Order3"/>
      <sheetName val="AutoOpen_Stub_Data3"/>
      <sheetName val="Customize_Your_Purchase_Order4"/>
      <sheetName val="Purchase_Order4"/>
      <sheetName val="Intl_Data_Table3"/>
      <sheetName val="DETAIL_3"/>
      <sheetName val="Evaluation"/>
      <sheetName val="Mat"/>
      <sheetName val=" ELECTRICAL ROOM CENTER.xlsx"/>
      <sheetName val="日程"/>
      <sheetName val="supp_name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IMV"/>
      <sheetName val="Cover"/>
      <sheetName val="boq"/>
      <sheetName val="電気設備表"/>
      <sheetName val="SH-F"/>
      <sheetName val="Fill this out first___"/>
      <sheetName val=""/>
      <sheetName val="ITB COST"/>
      <sheetName val="Buy vs. Lease Car"/>
      <sheetName val="gvl"/>
      <sheetName val="UP"/>
      <sheetName val="SUM"/>
      <sheetName val="Pipe"/>
      <sheetName val="Direct Cost"/>
      <sheetName val="Rate"/>
      <sheetName val="Income Statement"/>
      <sheetName val="Balance Sheet"/>
      <sheetName val="Sh&amp;Hd"/>
      <sheetName val="Recovered_Sheet1"/>
      <sheetName val="รวมราคาทั้งสิ้น"/>
      <sheetName val="Database"/>
      <sheetName val="Output"/>
      <sheetName val="Cost_Categories"/>
      <sheetName val="Cost Data"/>
      <sheetName val="Material"/>
      <sheetName val="ProductName"/>
      <sheetName val="FS(E)"/>
      <sheetName val="รายละเอียดเสาเข็มที่ใช้แต่ละแบบ"/>
      <sheetName val="Waterg"/>
      <sheetName val="main sum (hotel &amp; residences)"/>
      <sheetName val="ตารางส่วนลด EE."/>
      <sheetName val="bk unit rate"/>
      <sheetName val="STMspry"/>
      <sheetName val="PsychroData"/>
      <sheetName val="코드관리"/>
      <sheetName val="Interial"/>
      <sheetName val="노무비"/>
      <sheetName val="GAAP Pru"/>
      <sheetName val="SAN_REDUCED_13"/>
      <sheetName val="C-LOAD(L-FACTORY_)3"/>
      <sheetName val="Purchase_Order12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stomize Your Invoice"/>
      <sheetName val="EFR30696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DETAIL"/>
      <sheetName val="#REF"/>
      <sheetName val="BUR4-Rd"/>
      <sheetName val="BUR3-DrnRC"/>
      <sheetName val="SPT vs PHI"/>
      <sheetName val="Currency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Ceil."/>
      <sheetName val="งานภายนอก"/>
      <sheetName val="Paint."/>
      <sheetName val="Roof"/>
      <sheetName val="Struc."/>
      <sheetName val="SanFix"/>
      <sheetName val="Wall"/>
      <sheetName val="21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Sch  3"/>
      <sheetName val="Equipment"/>
      <sheetName val="unitcost"/>
      <sheetName val="Cert1"/>
      <sheetName val="inWords"/>
      <sheetName val="402"/>
      <sheetName val="sheetNO"/>
      <sheetName val="2nd"/>
      <sheetName val="Breakdown"/>
      <sheetName val="ｺｽﾄｾﾝﾀｰ別設備稼働費ﾚｰﾄ算出表"/>
      <sheetName val="基準ｲﾝﾌﾟｯﾄ"/>
      <sheetName val="A1_2"/>
      <sheetName val="_Sample_request_(JC41-00834A)_-"/>
      <sheetName val="GAAP_Pru"/>
    </sheetNames>
    <sheetDataSet>
      <sheetData sheetId="0" refreshError="1">
        <row r="23">
          <cell r="F23" t="str">
            <v>State</v>
          </cell>
        </row>
        <row r="24">
          <cell r="F24">
            <v>0.05</v>
          </cell>
        </row>
        <row r="25">
          <cell r="E25" t="b">
            <v>1</v>
          </cell>
        </row>
      </sheetData>
      <sheetData sheetId="1" refreshError="1">
        <row r="23">
          <cell r="F23" t="str">
            <v>State</v>
          </cell>
        </row>
        <row r="40">
          <cell r="E40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AutoOpen Stub Data"/>
      <sheetName val="Macros"/>
      <sheetName val="ATW"/>
      <sheetName val="Lock"/>
      <sheetName val="Intl Data Table"/>
      <sheetName val="TemplateInformation"/>
      <sheetName val="Cost Data"/>
      <sheetName val="Material"/>
      <sheetName val="Purchase Order"/>
      <sheetName val="Customize Your Purchase Order"/>
      <sheetName val="Main Sum (Hotel &amp; Residences)"/>
      <sheetName val="2_3_1 อาคาร"/>
      <sheetName val="EXF"/>
      <sheetName val="Progress-All"/>
      <sheetName val="cov-estimate"/>
      <sheetName val="C(1)"/>
      <sheetName val="D&amp;E(1)"/>
      <sheetName val="Cost_Categories"/>
      <sheetName val="สรุปราคา (EMC)"/>
      <sheetName val="HVAC"/>
      <sheetName val="ค่าวัสดุ"/>
      <sheetName val="AutoOpen_Stub_Data"/>
      <sheetName val="Intl_Data_Table"/>
      <sheetName val="Purchase_Order"/>
      <sheetName val="Customize_Your_Purchase_Order"/>
      <sheetName val="SH-D"/>
      <sheetName val="basic rate"/>
      <sheetName val="Main_Sum_(Hotel_&amp;_Residences)"/>
      <sheetName val="Cost_Data"/>
      <sheetName val="2_3_1_อาคาร"/>
      <sheetName val="สรุปราคา_(EMC)"/>
      <sheetName val="Mat"/>
      <sheetName val="BOX Cryostat Details"/>
      <sheetName val="Driver Linac Layout"/>
      <sheetName val="Inputs"/>
      <sheetName val="Magnet Details"/>
      <sheetName val="PRICE LIST"/>
      <sheetName val="SH-G"/>
      <sheetName val="SH-C"/>
      <sheetName val="INVOICEprototype1"/>
      <sheetName val="List"/>
      <sheetName val="MASTER"/>
      <sheetName val="Assumption"/>
      <sheetName val=""/>
      <sheetName val="DETAIL "/>
      <sheetName val="AutoOpen_Stub_Data1"/>
      <sheetName val="Intl_Data_Table1"/>
      <sheetName val="Purchase_Order1"/>
      <sheetName val="Customize_Your_Purchase_Order1"/>
      <sheetName val="Cost_Data1"/>
      <sheetName val="basic_rate"/>
      <sheetName val="SUM-AIR-Submit"/>
      <sheetName val="Construction cost assumption"/>
      <sheetName val="JLL Assumption"/>
      <sheetName val="Sheet1"/>
      <sheetName val="Retail Program&amp;Rev Assumption"/>
      <sheetName val="สรุป"/>
      <sheetName val="Cover"/>
      <sheetName val="เงินกู้ธนชาติ"/>
      <sheetName val="K-5"/>
      <sheetName val="ตั๋วเงินรับ"/>
      <sheetName val="เงินกู้ MGC"/>
      <sheetName val="C-3"/>
      <sheetName val="VariableII  period"/>
      <sheetName val="รายละเอียด"/>
      <sheetName val="Dec15"/>
      <sheetName val="DEC31"/>
      <sheetName val="Trial Balance"/>
      <sheetName val="Sol-Other"/>
      <sheetName val="TrialBalance Q3-2002"/>
      <sheetName val="10-1 Media"/>
      <sheetName val="10-cut"/>
      <sheetName val="Customize Your Invoice"/>
      <sheetName val="SEA"/>
      <sheetName val="boq"/>
      <sheetName val="Cctmst"/>
      <sheetName val="I-slab"/>
      <sheetName val="97 사업추정(WEKI)"/>
      <sheetName val="Beam Gridline1-7"/>
      <sheetName val="I. Gen&amp;Proj Schd-Asm"/>
      <sheetName val="II. Proj Cost-Asm"/>
      <sheetName val="Code"/>
      <sheetName val="Cash Flow Internal"/>
      <sheetName val="LITF"/>
      <sheetName val="Main Summary"/>
      <sheetName val="covere"/>
      <sheetName val="Daily Handover"/>
      <sheetName val="Main_Sum_(Hotel_&amp;_Residences)1"/>
      <sheetName val="2_3_1_อาคาร1"/>
      <sheetName val="สรุปราคา_(EMC)1"/>
      <sheetName val="BOX_Cryostat_Details"/>
      <sheetName val="Driver_Linac_Layout"/>
      <sheetName val="Magnet_Details"/>
      <sheetName val="PRICE_LIST"/>
      <sheetName val="PAY"/>
      <sheetName val="สัญญา"/>
      <sheetName val="DETAIL_"/>
      <sheetName val="CAPEX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CRITERIA1"/>
      <sheetName val="desc"/>
      <sheetName val="type"/>
      <sheetName val="Control"/>
      <sheetName val="Orig FC Pivot Table"/>
      <sheetName val="0398exp"/>
      <sheetName val="2004"/>
      <sheetName val="Mapping table"/>
      <sheetName val="DAY"/>
      <sheetName val="TABLE"/>
      <sheetName val="BUILD95"/>
      <sheetName val="SPEC PL1"/>
      <sheetName val="Submit#1_Oakwood Sukhumvit36"/>
      <sheetName val="Mat_Source"/>
      <sheetName val="Data"/>
      <sheetName val="BARS"/>
      <sheetName val="Balance Sheet"/>
      <sheetName val="R&amp;M"/>
      <sheetName val="SPLNM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Balance_Sheet"/>
      <sheetName val="Delivery Schedule"/>
      <sheetName val="Coil  Received"/>
      <sheetName val="総合B"/>
      <sheetName val="PROFILE"/>
      <sheetName val="Sheet1 (3)"/>
      <sheetName val="LeafspringDetails"/>
      <sheetName val="Received"/>
      <sheetName val="23291-0H020"/>
      <sheetName val="PART"/>
      <sheetName val="CRITERIA2"/>
      <sheetName val="CRITERIA3"/>
      <sheetName val="#ofclose"/>
      <sheetName val="販直"/>
      <sheetName val="detail 2"/>
      <sheetName val="期首ｐｖ"/>
      <sheetName val="当月ｐｖ"/>
      <sheetName val="DefectDetails"/>
      <sheetName val="EE"/>
      <sheetName val="AutoOpen_Stub_Data2"/>
      <sheetName val="Intl_Data_Table2"/>
      <sheetName val="Purchase_Order2"/>
      <sheetName val="Customize_Your_Purchase_Order2"/>
      <sheetName val="Cost_Data2"/>
      <sheetName val="basic_rate1"/>
      <sheetName val="97_사업추정(WEKI)"/>
      <sheetName val="Construction_cost_assumption"/>
      <sheetName val="JLL_Assumption"/>
      <sheetName val="Retail_Program&amp;Rev_Assumption"/>
      <sheetName val="Customize_Your_Invoice"/>
      <sheetName val="10-1_Media"/>
      <sheetName val="เงินกู้_MGC"/>
      <sheetName val="Trial_Balance"/>
      <sheetName val="TrialBalance_Q3-2002"/>
      <sheetName val="CashFlow"/>
      <sheetName val="Sheet2"/>
      <sheetName val="Sheet3"/>
      <sheetName val="factors"/>
      <sheetName val="EST-FOOTING (G)"/>
      <sheetName val="BK Unit Rate"/>
      <sheetName val="งานบริหารโครงสร้างและดำเนินการ"/>
      <sheetName val="ปก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หลักเกณฑ์"/>
      <sheetName val="SCH_B13"/>
      <sheetName val="Capital_Performance1"/>
      <sheetName val="Cash_Flow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Balance_Sheet1"/>
      <sheetName val="CHITIET"/>
      <sheetName val="หินล้าง ABCD"/>
      <sheetName val="ปก "/>
      <sheetName val="01 จ.ม.ส่งราคา"/>
      <sheetName val="BLD.A"/>
      <sheetName val="Water&amp;WW"/>
      <sheetName val="J4"/>
      <sheetName val="J3"/>
      <sheetName val="Conc."/>
      <sheetName val="Database"/>
      <sheetName val="Output"/>
      <sheetName val="ราคาคอนกรีตต่อหน่วย"/>
      <sheetName val="Poject name"/>
      <sheetName val="Beam_Gridline1-7"/>
      <sheetName val="I__Gen&amp;Proj_Schd-Asm"/>
      <sheetName val="II__Proj_Cost-Asm"/>
      <sheetName val="Main_Summary"/>
      <sheetName val="AutoOpen_Stub_Data3"/>
      <sheetName val="Intl_Data_Table3"/>
      <sheetName val="Purchase_Order3"/>
      <sheetName val="Customize_Your_Purchase_Order3"/>
      <sheetName val="Main_Sum_(Hotel_&amp;_Residences)2"/>
      <sheetName val="Cost_Data3"/>
      <sheetName val="2_3_1_อาคาร2"/>
      <sheetName val="สรุปราคา_(EMC)2"/>
      <sheetName val="basic_rate2"/>
      <sheetName val="PRICE_LIST1"/>
      <sheetName val="BOX_Cryostat_Details1"/>
      <sheetName val="Driver_Linac_Layout1"/>
      <sheetName val="Magnet_Details1"/>
      <sheetName val="DETAIL_1"/>
      <sheetName val="Construction_cost_assumption1"/>
      <sheetName val="JLL_Assumption1"/>
      <sheetName val="Retail_Program&amp;Rev_Assumption1"/>
      <sheetName val="Customize_Your_Invoice1"/>
      <sheetName val="10-1_Media1"/>
      <sheetName val="เงินกู้_MGC1"/>
      <sheetName val="Trial_Balance1"/>
      <sheetName val="TrialBalance_Q3-20021"/>
      <sheetName val="97_사업추정(WEKI)1"/>
      <sheetName val="Daily_Handover"/>
      <sheetName val="Capital_Performance2"/>
      <sheetName val="Cash_Flow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Orig_FC_Pivot_Table"/>
      <sheetName val="Mapping_table"/>
      <sheetName val="SPEC_PL1"/>
      <sheetName val="Submit#1_Oakwood_Sukhumvit36"/>
      <sheetName val="Balance_Sheet2"/>
      <sheetName val="Delivery_Schedule"/>
      <sheetName val="Coil__Received"/>
      <sheetName val="Sheet1_(3)"/>
      <sheetName val="detail_2"/>
      <sheetName val="Cash_Flow_Internal"/>
      <sheetName val="EST-FOOTING_(G)"/>
      <sheetName val="Grand_Summary"/>
      <sheetName val="Sub_Summary"/>
      <sheetName val="Hotel_A_type_A"/>
      <sheetName val="Hotel_A_type_B"/>
      <sheetName val="Hotel_A_type_C"/>
      <sheetName val="Hotel_B_type_B"/>
      <sheetName val="Hotel_B_type_C"/>
      <sheetName val="Hote_C__type_C"/>
      <sheetName val="Hotel_A_suite"/>
      <sheetName val="Gyp_Pavilion"/>
      <sheetName val="Reception_Pavilion"/>
      <sheetName val="WC__Reception"/>
      <sheetName val="Corridor_Hote_A_"/>
      <sheetName val="Corridor_Hote_B_"/>
      <sheetName val="Corridor_Hote_C_"/>
      <sheetName val="Grand_SUMMARY_"/>
      <sheetName val="Grand_Summary_(_Variation)"/>
      <sheetName val="ST_work_con_M"/>
      <sheetName val="ST_work_con_carpark"/>
      <sheetName val="ST_work_M"/>
      <sheetName val="ST_work_Facad(M)_"/>
      <sheetName val="ST_work_carpark"/>
      <sheetName val="back_up_arc_Car_Park"/>
      <sheetName val="backup_str_carpark"/>
      <sheetName val="back_up_arc__M"/>
      <sheetName val="แยกงาน_ผนัง_พื้น_ฝ้า_สี"/>
      <sheetName val="Grand_SUMMARY_MEP_"/>
      <sheetName val="BK_Unit_Rate"/>
      <sheetName val="หินล้าง_ABCD"/>
      <sheetName val="ปก_"/>
      <sheetName val="01_จ_ม_ส่งราคา"/>
      <sheetName val="BLD_A"/>
      <sheetName val="Conc_"/>
      <sheetName val="Sheet 9"/>
      <sheetName val="retwall EB3-1 EB3-2 cost"/>
      <sheetName val="sta"/>
      <sheetName val="Laize"/>
      <sheetName val="สิรินรัตน์1"/>
      <sheetName val="สิรินรัตน์"/>
      <sheetName val="พหล"/>
      <sheetName val="พหล (2)"/>
      <sheetName val="พหล (3)"/>
      <sheetName val="GP"/>
      <sheetName val="Master Division"/>
      <sheetName val="Assump - Operational"/>
      <sheetName val="CC 5Tu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ก"/>
      <sheetName val="สรุปราคา"/>
      <sheetName val="ขั้นตอนในการประมาณราคา"/>
      <sheetName val="ใบประเภทงานอาคาร"/>
      <sheetName val="โครงสร้าง"/>
      <sheetName val="สถาปัตย์"/>
      <sheetName val="สุขาภิบาล"/>
      <sheetName val="ไฟฟ้า"/>
      <sheetName val="ปรับอากาศ"/>
      <sheetName val="ลิฟท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amese"/>
      <sheetName val="splinkler"/>
      <sheetName val="AIR"/>
      <sheetName val="2"/>
      <sheetName val="2-A"/>
      <sheetName val="2-B "/>
      <sheetName val="2-C"/>
      <sheetName val="2-D"/>
      <sheetName val="2-E"/>
      <sheetName val="충주"/>
      <sheetName val="Invoice"/>
      <sheetName val="EST_AC"/>
      <sheetName val="Sheet1"/>
      <sheetName val="Grand summary"/>
      <sheetName val="A.PRELIMINARIES"/>
      <sheetName val="B + W + B"/>
      <sheetName val="IN"/>
      <sheetName val="STMspry"/>
      <sheetName val="PsychroData"/>
      <sheetName val="Purchase Order"/>
      <sheetName val="Customize Your Purchase Order"/>
      <sheetName val="2-B_"/>
      <sheetName val="2-B_1"/>
      <sheetName val="List"/>
      <sheetName val="Price"/>
      <sheetName val="2-B_2"/>
      <sheetName val="Grand_summary"/>
      <sheetName val="A_PRELIMINARIES"/>
      <sheetName val="B_+_W_+_B"/>
      <sheetName val="Purchase_Order"/>
      <sheetName val="Customize_Your_Purchase_Order"/>
      <sheetName val="EXF"/>
      <sheetName val=""/>
      <sheetName val="DETAIL "/>
      <sheetName val="1 (2)"/>
      <sheetName val="Cavity Inputs"/>
      <sheetName val="Equipment"/>
      <sheetName val="DETAIL_"/>
      <sheetName val="Book 1 Summary"/>
      <sheetName val="Mat"/>
      <sheetName val="Sum"/>
      <sheetName val="Interial"/>
      <sheetName val="Cost Planing (R) (2)"/>
      <sheetName val="PSG-NSG Variance"/>
      <sheetName val="WORKSHEET"/>
      <sheetName val="Budget (Jun 07)"/>
      <sheetName val="3 - MATERIAL"/>
      <sheetName val="1-LABOUR"/>
      <sheetName val="Cal Fto"/>
      <sheetName val="bq"/>
      <sheetName val="C1ㅇ"/>
      <sheetName val="Budget_(Jun_07)"/>
      <sheetName val="3_-_MATERIAL"/>
      <sheetName val="Cal_Fto"/>
      <sheetName val="Bill No. 2 - Carpark"/>
      <sheetName val="P7 "/>
      <sheetName val="(Data)"/>
      <sheetName val="SH-B"/>
      <sheetName val="SH-D"/>
      <sheetName val="SH-C"/>
      <sheetName val="SAN REDUCED 1"/>
      <sheetName val="IBASE"/>
      <sheetName val="2-B_3"/>
      <sheetName val="B_+_W_+_B1"/>
      <sheetName val="Grand_summary1"/>
      <sheetName val="A_PRELIMINARIES1"/>
      <sheetName val="Purchase_Order1"/>
      <sheetName val="Customize_Your_Purchase_Order1"/>
      <sheetName val="DETAIL_1"/>
      <sheetName val="Book_1_Summary"/>
      <sheetName val="1_(2)"/>
      <sheetName val="Cavity_Inputs"/>
      <sheetName val="Floor Area"/>
      <sheetName val="2-B_4"/>
      <sheetName val="B_+_W_+_B2"/>
      <sheetName val="Grand_summary2"/>
      <sheetName val="A_PRELIMINARIES2"/>
      <sheetName val="Purchase_Order2"/>
      <sheetName val="Customize_Your_Purchase_Order2"/>
      <sheetName val="DETAIL_2"/>
      <sheetName val="1_(2)1"/>
      <sheetName val="Cavity_Inputs1"/>
      <sheetName val="Book_1_Summary1"/>
      <sheetName val="Grand_summary3"/>
      <sheetName val="A_PRELIMINARIES3"/>
      <sheetName val="B_+_W_+_B3"/>
      <sheetName val="JUNE1"/>
      <sheetName val="งานประปา"/>
      <sheetName val="basic rate"/>
      <sheetName val="สุขาภิบาล"/>
      <sheetName val="2-B_5"/>
      <sheetName val="Purchase_Order3"/>
      <sheetName val="Customize_Your_Purchase_Order3"/>
      <sheetName val="DETAIL_3"/>
      <sheetName val="費率"/>
      <sheetName val="減額算出"/>
      <sheetName val="特定工事"/>
      <sheetName val="Book_1_Summary2"/>
      <sheetName val="1_(2)2"/>
      <sheetName val="Cavity_Inputs2"/>
      <sheetName val="Cost_Planing_(R)_(2)"/>
      <sheetName val="PSG-NSG_Variance"/>
      <sheetName val="SAN_REDUCED_1"/>
      <sheetName val="Bill_No__2_-_Carpark"/>
      <sheetName val="P7_"/>
      <sheetName val="Quotation"/>
      <sheetName val="covere"/>
      <sheetName val="2-B_6"/>
      <sheetName val="B_+_W_+_B4"/>
      <sheetName val="Grand_summary4"/>
      <sheetName val="A_PRELIMINARIES4"/>
      <sheetName val="Purchase_Order4"/>
      <sheetName val="Customize_Your_Purchase_Order4"/>
      <sheetName val="DETAIL_4"/>
      <sheetName val="1_(2)3"/>
      <sheetName val="Cavity_Inputs3"/>
      <sheetName val="Book_1_Summary3"/>
      <sheetName val="Cost_Planing_(R)_(2)1"/>
      <sheetName val="PSG-NSG_Variance1"/>
      <sheetName val="SAN_REDUCED_11"/>
      <sheetName val="Bill_No__2_-_Carpark1"/>
      <sheetName val="P7_1"/>
      <sheetName val="FR"/>
      <sheetName val="Kihon-Jiko"/>
      <sheetName val="data3"/>
      <sheetName val="ค่าวัสดุ 11.01.07"/>
      <sheetName val="ราคาวัสดุวิลล์6"/>
      <sheetName val="Material"/>
      <sheetName val="N.3"/>
      <sheetName val="ใบ PR "/>
      <sheetName val="Sch 3A"/>
      <sheetName val="Sch 4A"/>
      <sheetName val="Sch 5A"/>
      <sheetName val="Sch 6A"/>
      <sheetName val="2-B_7"/>
      <sheetName val="B_+_W_+_B5"/>
      <sheetName val="Grand_summary5"/>
      <sheetName val="A_PRELIMINARIES5"/>
      <sheetName val="Purchase_Order5"/>
      <sheetName val="Customize_Your_Purchase_Order5"/>
      <sheetName val="DETAIL_5"/>
      <sheetName val="Book_1_Summary4"/>
      <sheetName val="1_(2)4"/>
      <sheetName val="Cavity_Inputs4"/>
      <sheetName val="Cost_Planing_(R)_(2)2"/>
      <sheetName val="PSG-NSG_Variance2"/>
      <sheetName val="SAN_REDUCED_12"/>
      <sheetName val="Bill_No__2_-_Carpark2"/>
      <sheetName val="P7_2"/>
      <sheetName val="Package 3(Concourse)"/>
      <sheetName val="Budget_(Jun_07)1"/>
      <sheetName val="3_-_MATERIAL1"/>
      <sheetName val="Cal_Fto1"/>
      <sheetName val="basic_rate"/>
      <sheetName val="Floor_Area"/>
      <sheetName val="2-B_8"/>
      <sheetName val="B_+_W_+_B6"/>
      <sheetName val="Grand_summary6"/>
      <sheetName val="A_PRELIMINARIES6"/>
      <sheetName val="Purchase_Order6"/>
      <sheetName val="Customize_Your_Purchase_Order6"/>
      <sheetName val="Bill_No__2_-_Carpark3"/>
      <sheetName val="P7_3"/>
      <sheetName val="DETAIL_6"/>
      <sheetName val="1_(2)5"/>
      <sheetName val="Cavity_Inputs5"/>
      <sheetName val="Book_1_Summary5"/>
      <sheetName val="SAN_REDUCED_13"/>
      <sheetName val="Cost_Planing_(R)_(2)3"/>
      <sheetName val="Budget_(Jun_07)2"/>
      <sheetName val="3_-_MATERIAL2"/>
      <sheetName val="Cal_Fto2"/>
      <sheetName val="PSG-NSG_Variance3"/>
      <sheetName val="basic_rate1"/>
      <sheetName val="Floor_Area1"/>
      <sheetName val="Fm-sale "/>
      <sheetName val="SH-G"/>
      <sheetName val="SH-E"/>
      <sheetName val="FAB별"/>
      <sheetName val="Sum-sys"/>
      <sheetName val="Detail"/>
      <sheetName val="Scope of work "/>
      <sheetName val="VENDER"/>
      <sheetName val="received net-BG"/>
      <sheetName val="Summary BG Code"/>
      <sheetName val="Data-ac"/>
      <sheetName val="Data-san"/>
      <sheetName val="Data-EE"/>
      <sheetName val="화재 탐지 설비"/>
      <sheetName val="SOFTSCAPE"/>
      <sheetName val="RC.footing"/>
      <sheetName val="Summary cal"/>
      <sheetName val="รวมราคาทั้งสิ้น"/>
      <sheetName val="A1.2"/>
      <sheetName val="Position"/>
      <sheetName val="Name-list"/>
      <sheetName val="ใบ_PR_"/>
      <sheetName val="ค่าวัสดุ_11_01_07"/>
      <sheetName val="N_3"/>
      <sheetName val="금액내역서"/>
      <sheetName val="Weight Bridge"/>
      <sheetName val="入力作成表"/>
      <sheetName val="Ｎｏ.13"/>
      <sheetName val="DI-ESTI"/>
      <sheetName val="KeoThepKhoGOC"/>
      <sheetName val="Fax message"/>
      <sheetName val="2-B_9"/>
      <sheetName val="Grand_summary7"/>
      <sheetName val="A_PRELIMINARIES7"/>
      <sheetName val="B_+_W_+_B7"/>
      <sheetName val="Purchase_Order7"/>
      <sheetName val="Customize_Your_Purchase_Order7"/>
      <sheetName val="DETAIL_7"/>
      <sheetName val="1_(2)6"/>
      <sheetName val="Cavity_Inputs6"/>
      <sheetName val="Book_1_Summary6"/>
      <sheetName val="Bill_No__2_-_Carpark4"/>
      <sheetName val="P7_4"/>
      <sheetName val="Cost_Planing_(R)_(2)4"/>
      <sheetName val="PSG-NSG_Variance4"/>
      <sheetName val="SAN_REDUCED_14"/>
      <sheetName val="ค่าวัสดุ_11_01_071"/>
      <sheetName val="N_31"/>
      <sheetName val="apart_ee"/>
      <sheetName val="name"/>
      <sheetName val="展開日程"/>
      <sheetName val="Budget_(Jun_07)3"/>
      <sheetName val="3_-_MATERIAL3"/>
      <sheetName val="Cal_Fto3"/>
      <sheetName val="basic_rate2"/>
      <sheetName val="Floor_Area2"/>
      <sheetName val="LOTUS-EE1"/>
      <sheetName val="สุขา"/>
      <sheetName val="ราคารวม"/>
      <sheetName val="หมวดงานเตรียมการ"/>
      <sheetName val="หมวดงานวิศวกรรมโครงสร้าง"/>
      <sheetName val="หมวดงานสถาปัตยกรรม"/>
      <sheetName val="หมวดงานภายนอก(FACADE) "/>
      <sheetName val="SUM_ID(ส่วนกลาง)"/>
      <sheetName val="1.LOBBY&amp;WAITING AREA1st"/>
      <sheetName val="2.LIFT HALL1st"/>
      <sheetName val="3.LIFT HALL 2nd-7th"/>
      <sheetName val="4.CORRIDOR(ONZEN)1st"/>
      <sheetName val="5.OFFICE 1st"/>
      <sheetName val="6.FITNESS ROOM 1st"/>
      <sheetName val="7.ONZEN ROOM 1st"/>
      <sheetName val="8.TOILET ELEMENT(WC1,2)1st"/>
      <sheetName val="9.MAID'S&amp;WC.G1"/>
      <sheetName val="SUM_ID(ห้องพัก)"/>
      <sheetName val="1.TYPE A1"/>
      <sheetName val="2.TYPE A1M"/>
      <sheetName val="3.TYPE B1"/>
      <sheetName val="4.TYPE B1M"/>
      <sheetName val="วัสดุ"/>
      <sheetName val="0006group-A(1-1)"/>
      <sheetName val="code"/>
      <sheetName val="Mock up "/>
      <sheetName val="แผนงาน"/>
      <sheetName val="TOWER B"/>
      <sheetName val="ปก"/>
      <sheetName val="ปก1"/>
      <sheetName val="重量 (2)"/>
      <sheetName val=" Duct BOQ"/>
      <sheetName val="Vent Table  "/>
      <sheetName val="VRVII's price"/>
      <sheetName val="Split's price"/>
      <sheetName val="Duct's price"/>
      <sheetName val="Ven. Fan"/>
      <sheetName val="Norm Std(Split)"/>
      <sheetName val="Norm Std(Package)"/>
      <sheetName val="Duct"/>
      <sheetName val="Cap Split (SHC)"/>
      <sheetName val="Cap Split (TOHC)"/>
      <sheetName val="Costing (VRV II )"/>
      <sheetName val="Cost (VRV II)"/>
      <sheetName val=" VRV Table II "/>
      <sheetName val="VRV II"/>
      <sheetName val="VRV II-M"/>
      <sheetName val="Norm Std(VRV)"/>
      <sheetName val="Costing (VRV III) "/>
      <sheetName val="Cost VRV III"/>
      <sheetName val=" VRV Table  (III)"/>
      <sheetName val="VRV III-M"/>
      <sheetName val="VRV III"/>
      <sheetName val="Safety Switch"/>
      <sheetName val="Costing (Split)"/>
      <sheetName val="cost (Split)"/>
      <sheetName val="Split Table"/>
      <sheetName val="Split"/>
      <sheetName val="Split-M"/>
      <sheetName val="LOAN-SGF"/>
      <sheetName val="S0"/>
      <sheetName val="I-slab"/>
      <sheetName val="Area Summary"/>
      <sheetName val="AA"/>
      <sheetName val="BOQ หมวดงานอลูมิเนียม"/>
      <sheetName val="Sch_3A"/>
      <sheetName val="Sch_4A"/>
      <sheetName val="Sch_5A"/>
      <sheetName val="Sch_6A"/>
      <sheetName val="Package_3(Concourse)"/>
      <sheetName val="Fm-sale_"/>
      <sheetName val="Scope_of_work_"/>
      <sheetName val="received_net-BG"/>
      <sheetName val="Summary_BG_Code"/>
      <sheetName val="2-B_10"/>
      <sheetName val="Grand_summary8"/>
      <sheetName val="A_PRELIMINARIES8"/>
      <sheetName val="B_+_W_+_B8"/>
      <sheetName val="Purchase_Order8"/>
      <sheetName val="Customize_Your_Purchase_Order8"/>
      <sheetName val="DETAIL_8"/>
      <sheetName val="1_(2)7"/>
      <sheetName val="Cavity_Inputs7"/>
      <sheetName val="Book_1_Summary7"/>
      <sheetName val="Bill_No__2_-_Carpark5"/>
      <sheetName val="P7_5"/>
      <sheetName val="Cost_Planing_(R)_(2)5"/>
      <sheetName val="PSG-NSG_Variance5"/>
      <sheetName val="Budget_(Jun_07)4"/>
      <sheetName val="3_-_MATERIAL4"/>
      <sheetName val="Cal_Fto4"/>
      <sheetName val="SAN_REDUCED_15"/>
      <sheetName val="Floor_Area3"/>
      <sheetName val="basic_rate3"/>
      <sheetName val="Sch_3A1"/>
      <sheetName val="Sch_4A1"/>
      <sheetName val="Sch_5A1"/>
      <sheetName val="Sch_6A1"/>
      <sheetName val="Package_3(Concourse)1"/>
      <sheetName val="ใบ_PR_1"/>
      <sheetName val="Fm-sale_1"/>
      <sheetName val="Scope_of_work_1"/>
      <sheetName val="received_net-BG1"/>
      <sheetName val="Summary_BG_Code1"/>
      <sheetName val="Ratios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Grand SUMMARY MEP "/>
      <sheetName val="back up arc. M"/>
      <sheetName val="BOQ arc.M now"/>
      <sheetName val="Fazad+g M"/>
      <sheetName val="M"/>
      <sheetName val="รายการวัสดุ arc.M"/>
      <sheetName val="วัสดุ arc.M"/>
      <sheetName val="BOQ arc.M oliginal"/>
      <sheetName val="Cert"/>
      <sheetName val="ตาราง Unit Rate "/>
      <sheetName val="ตาราง Unit Rate FP"/>
      <sheetName val="BUL-00"/>
      <sheetName val="CONTINGENCY EXPENSE"/>
      <sheetName val="BUL-05(Take off Existing Epoxy)"/>
      <sheetName val="Data"/>
      <sheetName val="total components with Rates"/>
      <sheetName val="Cctmst"/>
      <sheetName val="Interior L1_L3"/>
      <sheetName val="โครงสร้าง"/>
      <sheetName val="สถาปัตยกรรม"/>
      <sheetName val="SN "/>
      <sheetName val="EE"/>
      <sheetName val="Sheet2"/>
      <sheetName val="SN"/>
      <sheetName val="Back Up โครงสร้าง"/>
      <sheetName val="C3"/>
      <sheetName val=" GULF"/>
      <sheetName val="BQ ARS"/>
      <sheetName val="CashFlow"/>
      <sheetName val="FS"/>
      <sheetName val="SUMMARY MEP"/>
      <sheetName val="Prelim"/>
      <sheetName val="Recovered_Sheet1"/>
      <sheetName val="พื้นที่อาคาร"/>
      <sheetName val="SUM - MEP BUILDING"/>
      <sheetName val="Electrical System "/>
      <sheetName val="Commuication System"/>
      <sheetName val="Air Conditioning  System  "/>
      <sheetName val="Sanitary System "/>
      <sheetName val="Fire Protection System "/>
      <sheetName val="Check"/>
      <sheetName val="EFR30696"/>
      <sheetName val="หน้าปก"/>
      <sheetName val="สารบัญ"/>
      <sheetName val="1.รายละเอียด"/>
      <sheetName val="2.Organization "/>
      <sheetName val=" ORGANIZATION REport"/>
      <sheetName val="3.Work Progress Schedule "/>
      <sheetName val="Construction Progress"/>
      <sheetName val="Status Project"/>
      <sheetName val="Shop Progress"/>
      <sheetName val="Material Progress"/>
      <sheetName val="Plan Progress Architecture 1 "/>
      <sheetName val="4.Work Progress Report "/>
      <sheetName val="Work Progress Report"/>
      <sheetName val="5.Payment Progress Report "/>
      <sheetName val="Payment Progress Report"/>
      <sheetName val="6.RFI-SUM"/>
      <sheetName val="RFI-STR"/>
      <sheetName val="RFI-ARC"/>
      <sheetName val="7.RFA-SUM"/>
      <sheetName val="RFA-STR"/>
      <sheetName val="RFA-ARC"/>
      <sheetName val="8.SI-SUM"/>
      <sheetName val="SI-STR"/>
      <sheetName val="SI-ARC"/>
      <sheetName val="9.VO-SUM"/>
      <sheetName val="VO-STR"/>
      <sheetName val="VO-ARC"/>
      <sheetName val="10.Plants "/>
      <sheetName val="plant  tool"/>
      <sheetName val="11.Staff "/>
      <sheetName val="MAN POWER"/>
      <sheetName val="12.Weather "/>
      <sheetName val="Weather  (1)"/>
      <sheetName val="Weather  (2)"/>
      <sheetName val="Weather  (3)"/>
      <sheetName val="13.Problem "/>
      <sheetName val="Con's Problem1"/>
      <sheetName val="14.Picture "/>
      <sheetName val="Picture Progress1"/>
      <sheetName val="Picture Progress2"/>
      <sheetName val="Picture Progress3"/>
      <sheetName val="Picture Progress4"/>
      <sheetName val="Picture Progress5"/>
      <sheetName val="Picture Progress6"/>
      <sheetName val="Picture Progress7"/>
      <sheetName val="15.Safety &amp; Clean "/>
      <sheetName val="Safety"/>
      <sheetName val="Clean"/>
      <sheetName val="RC_footing"/>
      <sheetName val="Summary_cal"/>
      <sheetName val="RC_footing1"/>
      <sheetName val="Summary_cal1"/>
      <sheetName val="A1_2"/>
      <sheetName val="2-B_11"/>
      <sheetName val="Grand_summary9"/>
      <sheetName val="A_PRELIMINARIES9"/>
      <sheetName val="B_+_W_+_B9"/>
      <sheetName val="Purchase_Order9"/>
      <sheetName val="Customize_Your_Purchase_Order9"/>
      <sheetName val="DETAIL_9"/>
      <sheetName val="1_(2)8"/>
      <sheetName val="Cavity_Inputs8"/>
      <sheetName val="Book_1_Summary8"/>
      <sheetName val="Bill_No__2_-_Carpark6"/>
      <sheetName val="P7_6"/>
      <sheetName val="Cost_Planing_(R)_(2)6"/>
      <sheetName val="PSG-NSG_Variance6"/>
      <sheetName val="SAN_REDUCED_16"/>
      <sheetName val="Floor_Area4"/>
      <sheetName val="Budget_(Jun_07)5"/>
      <sheetName val="3_-_MATERIAL5"/>
      <sheetName val="Cal_Fto5"/>
      <sheetName val="basic_rate4"/>
      <sheetName val="ค่าวัสดุ_11_01_072"/>
      <sheetName val="N_32"/>
      <sheetName val="ใบ_PR_2"/>
      <sheetName val="Sch_3A2"/>
      <sheetName val="Sch_4A2"/>
      <sheetName val="Sch_5A2"/>
      <sheetName val="Sch_6A2"/>
      <sheetName val="Fm-sale_2"/>
      <sheetName val="Scope_of_work_2"/>
      <sheetName val="received_net-BG2"/>
      <sheetName val="Summary_BG_Code2"/>
      <sheetName val="RC_footing2"/>
      <sheetName val="Summary_cal2"/>
      <sheetName val="A1_21"/>
      <sheetName val="2-B_12"/>
      <sheetName val="Grand_summary10"/>
      <sheetName val="A_PRELIMINARIES10"/>
      <sheetName val="B_+_W_+_B10"/>
      <sheetName val="Purchase_Order10"/>
      <sheetName val="Customize_Your_Purchase_Order10"/>
      <sheetName val="DETAIL_10"/>
      <sheetName val="1_(2)9"/>
      <sheetName val="Cavity_Inputs9"/>
      <sheetName val="Book_1_Summary9"/>
      <sheetName val="Bill_No__2_-_Carpark7"/>
      <sheetName val="P7_7"/>
      <sheetName val="Cost_Planing_(R)_(2)7"/>
      <sheetName val="PSG-NSG_Variance7"/>
      <sheetName val="SAN_REDUCED_17"/>
      <sheetName val="Floor_Area5"/>
      <sheetName val="Budget_(Jun_07)6"/>
      <sheetName val="3_-_MATERIAL6"/>
      <sheetName val="Cal_Fto6"/>
      <sheetName val="basic_rate5"/>
      <sheetName val="ค่าวัสดุ_11_01_073"/>
      <sheetName val="N_33"/>
      <sheetName val="ใบ_PR_3"/>
      <sheetName val="Sch_3A3"/>
      <sheetName val="Sch_4A3"/>
      <sheetName val="Sch_5A3"/>
      <sheetName val="Sch_6A3"/>
      <sheetName val="Fm-sale_3"/>
      <sheetName val="Scope_of_work_3"/>
      <sheetName val="received_net-BG3"/>
      <sheetName val="Summary_BG_Code3"/>
      <sheetName val="RC_footing3"/>
      <sheetName val="Summary_cal3"/>
      <sheetName val="Package_3(Concourse)2"/>
      <sheetName val="A1_22"/>
      <sheetName val="SCHEDULE_1"/>
      <sheetName val="SCHEDULE_2"/>
      <sheetName val="SCHEDULE_3"/>
      <sheetName val="liste"/>
      <sheetName val="Total Price "/>
      <sheetName val="AA-1.01.01 Auto Parking"/>
      <sheetName val="AA-1.02.01 Auto Parking"/>
      <sheetName val="AA-1.02.02 Auto Parking"/>
      <sheetName val="AA-1.02.03 Auto Parking"/>
      <sheetName val="AA-1.03.01 Auto Parking"/>
      <sheetName val="AA-1.03.02 Auto Parking"/>
      <sheetName val="AA-1.03.03 Auto Parking"/>
      <sheetName val="AB-Prelim Cost"/>
      <sheetName val="B-ค่าบำรุงรักษาแบบไม่รวมอะไหล่ "/>
      <sheetName val="C-ค่าบำรุงรักษาแบบรวมอะไหล่ "/>
      <sheetName val="Preliminary"/>
      <sheetName val="สรุป"/>
      <sheetName val="Unit Price"/>
      <sheetName val="D-3"/>
      <sheetName val="COVER"/>
      <sheetName val="SUMMARY"/>
      <sheetName val="Main Sum (Hotel &amp; Residences)"/>
      <sheetName val="HVAC"/>
      <sheetName val="Furniture"/>
      <sheetName val="Definitions"/>
      <sheetName val="Project Status"/>
      <sheetName val="wpc2(2)"/>
      <sheetName val="화재_탐지_설비"/>
      <sheetName val="BOQFinishing"/>
      <sheetName val="ตัดแบ่งกม.ส่งพี่หนุ่ม"/>
      <sheetName val="Weight_Bridge"/>
      <sheetName val="Ｎｏ_13"/>
      <sheetName val="Fax_message"/>
      <sheetName val="หมวดงานภายนอก(FACADE)_"/>
      <sheetName val="1_LOBBY&amp;WAITING_AREA1st"/>
      <sheetName val="2_LIFT_HALL1st"/>
      <sheetName val="3_LIFT_HALL_2nd-7th"/>
      <sheetName val="4_CORRIDOR(ONZEN)1st"/>
      <sheetName val="5_OFFICE_1st"/>
      <sheetName val="6_FITNESS_ROOM_1st"/>
      <sheetName val="7_ONZEN_ROOM_1st"/>
      <sheetName val="8_TOILET_ELEMENT(WC1,2)1st"/>
      <sheetName val="9_MAID'S&amp;WC_G1"/>
      <sheetName val="1_TYPE_A1"/>
      <sheetName val="2_TYPE_A1M"/>
      <sheetName val="3_TYPE_B1"/>
      <sheetName val="ใบปะหน้า"/>
      <sheetName val="งานก่อสร้าง"/>
      <sheetName val="งานไฟฟ้า"/>
      <sheetName val="งานปรับอากาศ"/>
      <sheetName val="งานสุขาภิบาล"/>
      <sheetName val="ค่าขนส่ง"/>
      <sheetName val="4_TYPE_B1M"/>
      <sheetName val="BOQ_หมวดงานอลูมิเนียม"/>
      <sheetName val="_GULF"/>
      <sheetName val="BQ_ARS"/>
      <sheetName val="重量_(2)"/>
      <sheetName val="CONTINGENCY_EXPENSE"/>
      <sheetName val="BUL-05(Take_off_Existing_Epoxy)"/>
      <sheetName val="Mock_up_"/>
      <sheetName val="TOWER_B"/>
      <sheetName val="SN_"/>
      <sheetName val="Back_Up_โครงสร้าง"/>
      <sheetName val="Package_3(Concourse)3"/>
      <sheetName val="화재_탐지_설비1"/>
      <sheetName val="Weight_Bridge1"/>
      <sheetName val="Ｎｏ_131"/>
      <sheetName val="Fax_message1"/>
      <sheetName val="หมวดงานภายนอก(FACADE)_1"/>
      <sheetName val="1_LOBBY&amp;WAITING_AREA1st1"/>
      <sheetName val="2_LIFT_HALL1st1"/>
      <sheetName val="3_LIFT_HALL_2nd-7th1"/>
      <sheetName val="4_CORRIDOR(ONZEN)1st1"/>
      <sheetName val="5_OFFICE_1st1"/>
      <sheetName val="6_FITNESS_ROOM_1st1"/>
      <sheetName val="7_ONZEN_ROOM_1st1"/>
      <sheetName val="8_TOILET_ELEMENT(WC1,2)1st1"/>
      <sheetName val="9_MAID'S&amp;WC_G11"/>
      <sheetName val="1_TYPE_A11"/>
      <sheetName val="2_TYPE_A1M1"/>
      <sheetName val="3_TYPE_B11"/>
      <sheetName val="4_TYPE_B1M1"/>
      <sheetName val="BOQ_หมวดงานอลูมิเนียม1"/>
      <sheetName val="_GULF1"/>
      <sheetName val="BQ_ARS1"/>
      <sheetName val="重量_(2)1"/>
      <sheetName val="CONTINGENCY_EXPENSE1"/>
      <sheetName val="BUL-05(Take_off_Existing_Epoxy1"/>
      <sheetName val="Mock_up_1"/>
      <sheetName val="TOWER_B1"/>
      <sheetName val="SN_1"/>
      <sheetName val="Back_Up_โครงสร้าง1"/>
      <sheetName val="Package2 (MTB)"/>
      <sheetName val="企业表一"/>
      <sheetName val="BOQ"/>
      <sheetName val="核算项目余额表"/>
      <sheetName val="สรุปโครงสร้าง (2)"/>
      <sheetName val="GAAP Pru"/>
      <sheetName val="Form"/>
      <sheetName val="Structure"/>
      <sheetName val="gl"/>
      <sheetName val="Plumbing&amp;Sanitary"/>
      <sheetName val="Surau"/>
      <sheetName val="Sub Summary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GR55-2614"/>
      <sheetName val="GR55-3281"/>
      <sheetName val="GR55-2399"/>
      <sheetName val="GR55-3271"/>
      <sheetName val="GR55-5004"/>
      <sheetName val="GR55-5015"/>
      <sheetName val="GR55-2395"/>
      <sheetName val="GR55-2378"/>
      <sheetName val="Cert-Rev1"/>
      <sheetName val="Period"/>
      <sheetName val="SUM-AIR-Submit"/>
      <sheetName val="BPR"/>
      <sheetName val="JPN-Salary"/>
      <sheetName val="ExcRate"/>
      <sheetName val="ราคาต่ำสุด-721"/>
      <sheetName val="2-B_13"/>
      <sheetName val="Grand_summary11"/>
      <sheetName val="A_PRELIMINARIES11"/>
      <sheetName val="B_+_W_+_B11"/>
      <sheetName val="Purchase_Order11"/>
      <sheetName val="Customize_Your_Purchase_Order11"/>
      <sheetName val="DETAIL_11"/>
      <sheetName val="1_(2)10"/>
      <sheetName val="Cavity_Inputs10"/>
      <sheetName val="Budget_(Jun_07)7"/>
      <sheetName val="3_-_MATERIAL7"/>
      <sheetName val="Cal_Fto7"/>
      <sheetName val="Book_1_Summary10"/>
      <sheetName val="Cost_Planing_(R)_(2)8"/>
      <sheetName val="PSG-NSG_Variance8"/>
      <sheetName val="SAN_REDUCED_18"/>
      <sheetName val="Bill_No__2_-_Carpark8"/>
      <sheetName val="P7_8"/>
      <sheetName val="Floor_Area6"/>
      <sheetName val="basic_rate6"/>
      <sheetName val="ค่าวัสดุ_11_01_074"/>
      <sheetName val="N_34"/>
      <sheetName val="ใบ_PR_4"/>
      <sheetName val="Sch_3A4"/>
      <sheetName val="Sch_4A4"/>
      <sheetName val="Sch_5A4"/>
      <sheetName val="Sch_6A4"/>
      <sheetName val="Fm-sale_4"/>
      <sheetName val="Package_3(Concourse)4"/>
      <sheetName val="Scope_of_work_4"/>
      <sheetName val="received_net-BG4"/>
      <sheetName val="Summary_BG_Code4"/>
      <sheetName val="화재_탐지_설비2"/>
      <sheetName val="Weight_Bridge2"/>
      <sheetName val="Ｎｏ_132"/>
      <sheetName val="Fax_message2"/>
      <sheetName val="หมวดงานภายนอก(FACADE)_2"/>
      <sheetName val="1_LOBBY&amp;WAITING_AREA1st2"/>
      <sheetName val="2_LIFT_HALL1st2"/>
      <sheetName val="3_LIFT_HALL_2nd-7th2"/>
      <sheetName val="4_CORRIDOR(ONZEN)1st2"/>
      <sheetName val="5_OFFICE_1st2"/>
      <sheetName val="6_FITNESS_ROOM_1st2"/>
      <sheetName val="7_ONZEN_ROOM_1st2"/>
      <sheetName val="8_TOILET_ELEMENT(WC1,2)1st2"/>
      <sheetName val="9_MAID'S&amp;WC_G12"/>
      <sheetName val="1_TYPE_A12"/>
      <sheetName val="2_TYPE_A1M2"/>
      <sheetName val="3_TYPE_B12"/>
      <sheetName val="4_TYPE_B1M2"/>
      <sheetName val="BOQ_หมวดงานอลูมิเนียม2"/>
      <sheetName val="_GULF2"/>
      <sheetName val="BQ_ARS2"/>
      <sheetName val="重量_(2)2"/>
      <sheetName val="CONTINGENCY_EXPENSE2"/>
      <sheetName val="BUL-05(Take_off_Existing_Epoxy2"/>
      <sheetName val="Mock_up_2"/>
      <sheetName val="TOWER_B2"/>
      <sheetName val="SN_2"/>
      <sheetName val="Back_Up_โครงสร้าง2"/>
      <sheetName val="Installation"/>
      <sheetName val="AC"/>
      <sheetName val="FitOutConfCentre"/>
      <sheetName val="QS-Payment"/>
      <sheetName val="CH.483-59"/>
      <sheetName val="Back up EE"/>
      <sheetName val="SUM_SN"/>
      <sheetName val="Back up SN"/>
      <sheetName val="BU SN."/>
      <sheetName val="SUM_FP"/>
      <sheetName val="FP"/>
      <sheetName val="BU FP."/>
      <sheetName val="SUM_AC"/>
      <sheetName val="BU AC."/>
      <sheetName val="SUM_GAS"/>
      <sheetName val="GAS"/>
      <sheetName val="BU GAS"/>
      <sheetName val="Evaluation"/>
      <sheetName val="Take-off stru"/>
      <sheetName val="BS"/>
      <sheetName val="ประมาณการประตูหน้าต่าง "/>
      <sheetName val="2-B_14"/>
      <sheetName val="B_+_W_+_B12"/>
      <sheetName val="Grand_summary12"/>
      <sheetName val="A_PRELIMINARIES12"/>
      <sheetName val="Purchase_Order12"/>
      <sheetName val="Customize_Your_Purchase_Order12"/>
      <sheetName val="DETAIL_12"/>
      <sheetName val="Cavity_Inputs11"/>
      <sheetName val="1_(2)11"/>
      <sheetName val="Book_1_Summary11"/>
      <sheetName val="Cost_Planing_(R)_(2)9"/>
      <sheetName val="PSG-NSG_Variance9"/>
      <sheetName val="Floor_Area7"/>
      <sheetName val="Bill_No__2_-_Carpark9"/>
      <sheetName val="P7_9"/>
      <sheetName val="SAN_REDUCED_19"/>
      <sheetName val="Budget_(Jun_07)8"/>
      <sheetName val="3_-_MATERIAL8"/>
      <sheetName val="Cal_Fto8"/>
      <sheetName val="basic_rate7"/>
      <sheetName val="Key Data"/>
      <sheetName val="TB Q1 2015"/>
      <sheetName val="PL2-023"/>
      <sheetName val="PL2-021"/>
      <sheetName val="F"/>
      <sheetName val="ปะหน้า"/>
      <sheetName val="ใบเสนอราคา"/>
      <sheetName val="mobilization"/>
      <sheetName val="Sum_Str"/>
      <sheetName val="Str"/>
      <sheetName val="Sum Ar"/>
      <sheetName val="Ar"/>
      <sheetName val="Sum_สุขาภิบาล"/>
      <sheetName val="SOR"/>
      <sheetName val="Sch3"/>
      <sheetName val="stair"/>
      <sheetName val="footing"/>
      <sheetName val="cover page"/>
      <sheetName val="Main Summary"/>
      <sheetName val="Register"/>
      <sheetName val="GR55-2297"/>
      <sheetName val="Definition"/>
      <sheetName val="data-Hilton"/>
      <sheetName val="Cable accessory Copper"/>
      <sheetName val="Cable accessory Al-Cu"/>
      <sheetName val="Cold Water Reticulation"/>
      <sheetName val="ACMV"/>
      <sheetName val="Petrol Store &amp; Dispen Annex A11"/>
      <sheetName val="Consolidated"/>
      <sheetName val="Cable Schedule Al_Cu"/>
      <sheetName val="Data Tel MATV"/>
      <sheetName val="Diesel Fill_Dispense Annex A10"/>
      <sheetName val="Lift Station"/>
      <sheetName val="total"/>
      <sheetName val="BOX Cryostat Details"/>
      <sheetName val="Driver Linac Layout"/>
      <sheetName val="Inputs"/>
      <sheetName val="Magnet Details"/>
      <sheetName val="Discounted Cash Flow"/>
      <sheetName val="Factor F Data"/>
      <sheetName val="costs"/>
      <sheetName val="opstat"/>
      <sheetName val="summary1-3"/>
      <sheetName val="CE_A"/>
      <sheetName val="June"/>
      <sheetName val="Drwing"/>
      <sheetName val="Elec"/>
      <sheetName val="Inst"/>
      <sheetName val="IT"/>
      <sheetName val="Mech"/>
      <sheetName val="CE"/>
      <sheetName val="Power"/>
      <sheetName val="Store"/>
      <sheetName val="ADM_A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SCHEDULE 10_BUILD MANAGEMENT"/>
      <sheetName val="Cost Data"/>
    </sheetNames>
    <sheetDataSet>
      <sheetData sheetId="0" refreshError="1"/>
      <sheetData sheetId="1" refreshError="1">
        <row r="1">
          <cell r="A1" t="str">
            <v>Estimate Section</v>
          </cell>
          <cell r="D1" t="str">
            <v>STANDARD UNIT PRICE</v>
          </cell>
          <cell r="I1" t="str">
            <v>Document No.</v>
          </cell>
          <cell r="J1" t="str">
            <v>ME-ES-02</v>
          </cell>
        </row>
        <row r="2">
          <cell r="A2" t="str">
            <v>Part-2  Mechanical</v>
          </cell>
          <cell r="B2" t="str">
            <v>Description</v>
          </cell>
          <cell r="D2" t="str">
            <v>Section 2.2 Fixtures</v>
          </cell>
          <cell r="E2" t="str">
            <v>Amount</v>
          </cell>
          <cell r="F2" t="str">
            <v>Item 2.2.6 Fire Protection Accessories</v>
          </cell>
          <cell r="G2" t="str">
            <v>Remark</v>
          </cell>
          <cell r="I2" t="str">
            <v>Issue No.</v>
          </cell>
          <cell r="J2" t="str">
            <v>01</v>
          </cell>
          <cell r="K2" t="str">
            <v>Issue Date</v>
          </cell>
          <cell r="L2">
            <v>36251</v>
          </cell>
        </row>
        <row r="3">
          <cell r="A3" t="str">
            <v>OWNER  :  TRI PETCH ISUZU SALES CO.,LTD.</v>
          </cell>
          <cell r="B3" t="str">
            <v>Splinkler Head</v>
          </cell>
          <cell r="C3" t="str">
            <v>Splinkler Head</v>
          </cell>
          <cell r="D3" t="str">
            <v>Splinkler Head</v>
          </cell>
          <cell r="E3" t="str">
            <v>Splinkler Head</v>
          </cell>
          <cell r="F3" t="str">
            <v>Fire Extinguisher</v>
          </cell>
          <cell r="G3" t="str">
            <v>Fire Extinguisher</v>
          </cell>
          <cell r="H3" t="str">
            <v>Fire Extinguisher</v>
          </cell>
          <cell r="I3" t="str">
            <v>Fire Extinguisher</v>
          </cell>
          <cell r="J3" t="str">
            <v>Fire Extinguisher</v>
          </cell>
          <cell r="K3" t="str">
            <v>Alarm Gong</v>
          </cell>
        </row>
        <row r="4">
          <cell r="B4" t="str">
            <v>Glass Bulb</v>
          </cell>
          <cell r="C4" t="str">
            <v>Glass Bulb</v>
          </cell>
          <cell r="D4" t="str">
            <v>Glass Bulb</v>
          </cell>
          <cell r="E4" t="str">
            <v xml:space="preserve">Concealed </v>
          </cell>
          <cell r="F4" t="str">
            <v>Dry Chemical</v>
          </cell>
          <cell r="G4" t="str">
            <v>CO2</v>
          </cell>
          <cell r="H4" t="str">
            <v>CO2</v>
          </cell>
          <cell r="I4" t="str">
            <v>CO2</v>
          </cell>
          <cell r="J4" t="str">
            <v>CO2</v>
          </cell>
          <cell r="K4" t="str">
            <v>w/ Trim Gong</v>
          </cell>
        </row>
        <row r="5">
          <cell r="A5" t="str">
            <v>ITEM</v>
          </cell>
          <cell r="B5" t="str">
            <v>1/2" Orifice</v>
          </cell>
          <cell r="C5" t="str">
            <v>1/2" Orifice</v>
          </cell>
          <cell r="D5" t="str">
            <v>1/2" Orifice</v>
          </cell>
          <cell r="E5" t="str">
            <v>1/2" Orifice</v>
          </cell>
          <cell r="F5" t="str">
            <v>10LB</v>
          </cell>
          <cell r="G5" t="str">
            <v>10LB</v>
          </cell>
          <cell r="H5" t="str">
            <v>15LB</v>
          </cell>
          <cell r="I5" t="str">
            <v>20LB</v>
          </cell>
          <cell r="J5" t="str">
            <v>50LB</v>
          </cell>
          <cell r="K5" t="str">
            <v>Retard Chamber</v>
          </cell>
        </row>
        <row r="6">
          <cell r="B6" t="str">
            <v>1/2" NPT</v>
          </cell>
          <cell r="C6" t="str">
            <v>1/2" NPT</v>
          </cell>
          <cell r="D6" t="str">
            <v>1/2" NPT</v>
          </cell>
          <cell r="E6" t="str">
            <v>1/2" NPT</v>
          </cell>
          <cell r="F6" t="str">
            <v>4A : 60B : C</v>
          </cell>
          <cell r="G6" t="str">
            <v>10B : C</v>
          </cell>
          <cell r="H6" t="str">
            <v>10B : C</v>
          </cell>
          <cell r="I6" t="str">
            <v>10B : C</v>
          </cell>
          <cell r="J6" t="str">
            <v>20B : 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>
        <row r="1">
          <cell r="A1" t="str">
            <v>BILL OF QUANTITY</v>
          </cell>
        </row>
      </sheetData>
      <sheetData sheetId="156">
        <row r="1">
          <cell r="B1" t="str">
            <v>รายการ</v>
          </cell>
        </row>
      </sheetData>
      <sheetData sheetId="157">
        <row r="1">
          <cell r="A1" t="str">
            <v>BILL OF QUANTITY</v>
          </cell>
        </row>
      </sheetData>
      <sheetData sheetId="158">
        <row r="1">
          <cell r="B1" t="str">
            <v>รายการ</v>
          </cell>
        </row>
      </sheetData>
      <sheetData sheetId="159">
        <row r="1">
          <cell r="B1" t="str">
            <v>รายการ</v>
          </cell>
        </row>
      </sheetData>
      <sheetData sheetId="160">
        <row r="1">
          <cell r="B1" t="str">
            <v>รายการ</v>
          </cell>
        </row>
      </sheetData>
      <sheetData sheetId="161">
        <row r="1">
          <cell r="B1" t="str">
            <v>รายการ</v>
          </cell>
        </row>
      </sheetData>
      <sheetData sheetId="162">
        <row r="1">
          <cell r="B1" t="str">
            <v>รายการ</v>
          </cell>
        </row>
      </sheetData>
      <sheetData sheetId="163">
        <row r="1">
          <cell r="B1" t="str">
            <v>รายการ</v>
          </cell>
        </row>
      </sheetData>
      <sheetData sheetId="164">
        <row r="1">
          <cell r="A1" t="str">
            <v>BILL OF QUANTITY</v>
          </cell>
        </row>
      </sheetData>
      <sheetData sheetId="165">
        <row r="1">
          <cell r="B1" t="str">
            <v>รายการ</v>
          </cell>
        </row>
      </sheetData>
      <sheetData sheetId="166">
        <row r="1">
          <cell r="B1" t="str">
            <v>รายการ</v>
          </cell>
        </row>
      </sheetData>
      <sheetData sheetId="167">
        <row r="1">
          <cell r="B1" t="str">
            <v>รายการ</v>
          </cell>
        </row>
      </sheetData>
      <sheetData sheetId="168">
        <row r="1">
          <cell r="B1" t="str">
            <v>รายการ</v>
          </cell>
        </row>
      </sheetData>
      <sheetData sheetId="169">
        <row r="1">
          <cell r="B1" t="str">
            <v>รายการ</v>
          </cell>
        </row>
      </sheetData>
      <sheetData sheetId="170">
        <row r="1">
          <cell r="B1" t="str">
            <v>รายการ</v>
          </cell>
        </row>
      </sheetData>
      <sheetData sheetId="171">
        <row r="1">
          <cell r="B1" t="str">
            <v>รายการ</v>
          </cell>
        </row>
      </sheetData>
      <sheetData sheetId="172">
        <row r="1">
          <cell r="B1" t="str">
            <v>รายการ</v>
          </cell>
        </row>
      </sheetData>
      <sheetData sheetId="173"/>
      <sheetData sheetId="174"/>
      <sheetData sheetId="175" refreshError="1"/>
      <sheetData sheetId="176"/>
      <sheetData sheetId="177" refreshError="1"/>
      <sheetData sheetId="178"/>
      <sheetData sheetId="179"/>
      <sheetData sheetId="180"/>
      <sheetData sheetId="181">
        <row r="1">
          <cell r="B1" t="str">
            <v>รายการ</v>
          </cell>
        </row>
      </sheetData>
      <sheetData sheetId="182">
        <row r="1">
          <cell r="B1" t="str">
            <v>รายการ</v>
          </cell>
        </row>
      </sheetData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1">
          <cell r="B1" t="str">
            <v>รายการ</v>
          </cell>
        </row>
      </sheetData>
      <sheetData sheetId="212">
        <row r="1">
          <cell r="A1" t="str">
            <v>WORKING SCHEDULE AND CASH-FLOW</v>
          </cell>
        </row>
      </sheetData>
      <sheetData sheetId="213">
        <row r="1">
          <cell r="B1" t="str">
            <v>รายการ</v>
          </cell>
        </row>
      </sheetData>
      <sheetData sheetId="214">
        <row r="1">
          <cell r="A1" t="str">
            <v>WORKING SCHEDULE AND CASH-FLOW</v>
          </cell>
        </row>
      </sheetData>
      <sheetData sheetId="215">
        <row r="1">
          <cell r="A1" t="str">
            <v>WORKING SCHEDULE AND CASH-FLOW</v>
          </cell>
        </row>
      </sheetData>
      <sheetData sheetId="216">
        <row r="1">
          <cell r="A1" t="str">
            <v>WORKING SCHEDULE AND CASH-FLOW</v>
          </cell>
        </row>
      </sheetData>
      <sheetData sheetId="217">
        <row r="1">
          <cell r="B1" t="str">
            <v>รายการ</v>
          </cell>
        </row>
      </sheetData>
      <sheetData sheetId="218">
        <row r="1">
          <cell r="B1" t="str">
            <v>รายการ</v>
          </cell>
        </row>
      </sheetData>
      <sheetData sheetId="219">
        <row r="1">
          <cell r="B1" t="str">
            <v>รายการ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>
        <row r="1">
          <cell r="A1" t="str">
            <v>WORKING SCHEDULE AND CASH-FLOW</v>
          </cell>
        </row>
      </sheetData>
      <sheetData sheetId="235">
        <row r="1">
          <cell r="A1" t="str">
            <v>WORKING SCHEDULE AND CASH-FLOW</v>
          </cell>
        </row>
      </sheetData>
      <sheetData sheetId="236">
        <row r="1">
          <cell r="A1" t="str">
            <v>WORKING SCHEDULE AND CASH-FLOW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">
          <cell r="A1" t="str">
            <v>WORKING SCHEDULE AND CASH-FLOW</v>
          </cell>
        </row>
      </sheetData>
      <sheetData sheetId="258">
        <row r="1">
          <cell r="A1" t="str">
            <v>WORKING SCHEDULE AND CASH-FLOW</v>
          </cell>
        </row>
      </sheetData>
      <sheetData sheetId="259">
        <row r="1">
          <cell r="A1">
            <v>0</v>
          </cell>
        </row>
      </sheetData>
      <sheetData sheetId="260">
        <row r="1">
          <cell r="A1" t="str">
            <v>WORKING SCHEDULE AND CASH-FLOW</v>
          </cell>
        </row>
      </sheetData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>
        <row r="1">
          <cell r="A1" t="str">
            <v>BILL OF QUANTITY</v>
          </cell>
        </row>
      </sheetData>
      <sheetData sheetId="297">
        <row r="1">
          <cell r="A1" t="str">
            <v>WORKING SCHEDULE AND CASH-FLOW</v>
          </cell>
        </row>
      </sheetData>
      <sheetData sheetId="298">
        <row r="1">
          <cell r="A1" t="str">
            <v>WORKING SCHEDULE AND CASH-FLOW</v>
          </cell>
        </row>
      </sheetData>
      <sheetData sheetId="299">
        <row r="1">
          <cell r="A1" t="str">
            <v>WORKING SCHEDULE AND CASH-FLOW</v>
          </cell>
        </row>
      </sheetData>
      <sheetData sheetId="300">
        <row r="1">
          <cell r="A1" t="str">
            <v>BILL OF QUANTITY</v>
          </cell>
        </row>
      </sheetData>
      <sheetData sheetId="301">
        <row r="1">
          <cell r="A1" t="str">
            <v>BILL OF QUANTITY</v>
          </cell>
        </row>
      </sheetData>
      <sheetData sheetId="302">
        <row r="1">
          <cell r="A1" t="str">
            <v>Estimate Section</v>
          </cell>
        </row>
      </sheetData>
      <sheetData sheetId="303">
        <row r="1">
          <cell r="A1" t="str">
            <v>BILL OF QUANTITY</v>
          </cell>
        </row>
      </sheetData>
      <sheetData sheetId="304">
        <row r="1">
          <cell r="A1" t="str">
            <v>Estimate Section</v>
          </cell>
        </row>
      </sheetData>
      <sheetData sheetId="305">
        <row r="1">
          <cell r="A1">
            <v>0</v>
          </cell>
        </row>
      </sheetData>
      <sheetData sheetId="306">
        <row r="1">
          <cell r="A1">
            <v>0</v>
          </cell>
        </row>
      </sheetData>
      <sheetData sheetId="307">
        <row r="1">
          <cell r="A1" t="str">
            <v>BILL OF QUANTITY</v>
          </cell>
        </row>
      </sheetData>
      <sheetData sheetId="308">
        <row r="1">
          <cell r="A1" t="str">
            <v>BILL OF QUANTITY</v>
          </cell>
        </row>
      </sheetData>
      <sheetData sheetId="309">
        <row r="1">
          <cell r="A1" t="str">
            <v>Estimate Section</v>
          </cell>
        </row>
      </sheetData>
      <sheetData sheetId="310">
        <row r="1">
          <cell r="A1" t="str">
            <v>BILL OF QUANTITY</v>
          </cell>
        </row>
      </sheetData>
      <sheetData sheetId="311">
        <row r="1">
          <cell r="A1" t="str">
            <v>Estimate Section</v>
          </cell>
        </row>
      </sheetData>
      <sheetData sheetId="312">
        <row r="1">
          <cell r="A1">
            <v>0</v>
          </cell>
        </row>
      </sheetData>
      <sheetData sheetId="313">
        <row r="1">
          <cell r="A1">
            <v>0</v>
          </cell>
        </row>
      </sheetData>
      <sheetData sheetId="314">
        <row r="1">
          <cell r="A1" t="str">
            <v>BILL OF QUANTITY</v>
          </cell>
        </row>
      </sheetData>
      <sheetData sheetId="315">
        <row r="1">
          <cell r="A1" t="str">
            <v>BILL OF QUANTITY</v>
          </cell>
        </row>
      </sheetData>
      <sheetData sheetId="316">
        <row r="1">
          <cell r="A1" t="str">
            <v>BILL OF QUANTITY</v>
          </cell>
        </row>
      </sheetData>
      <sheetData sheetId="317">
        <row r="1">
          <cell r="A1" t="str">
            <v>BILL OF QUANTITY</v>
          </cell>
        </row>
      </sheetData>
      <sheetData sheetId="318">
        <row r="1">
          <cell r="A1" t="str">
            <v>BILL OF QUANTITY</v>
          </cell>
        </row>
      </sheetData>
      <sheetData sheetId="319">
        <row r="1">
          <cell r="A1">
            <v>0</v>
          </cell>
        </row>
      </sheetData>
      <sheetData sheetId="320">
        <row r="1">
          <cell r="A1">
            <v>0</v>
          </cell>
        </row>
      </sheetData>
      <sheetData sheetId="321">
        <row r="1">
          <cell r="A1" t="str">
            <v>BILL OF QUANTITY</v>
          </cell>
        </row>
      </sheetData>
      <sheetData sheetId="322">
        <row r="1">
          <cell r="A1" t="str">
            <v>BILL OF QUANTITY</v>
          </cell>
        </row>
      </sheetData>
      <sheetData sheetId="323">
        <row r="1">
          <cell r="A1" t="str">
            <v>รายงานความก้าวหน้าของงานโครงสร้าง Construction</v>
          </cell>
        </row>
      </sheetData>
      <sheetData sheetId="324">
        <row r="1">
          <cell r="A1" t="str">
            <v>BILL OF QUANTITY</v>
          </cell>
        </row>
      </sheetData>
      <sheetData sheetId="325">
        <row r="1">
          <cell r="A1" t="str">
            <v>BILL OF QUANTITY</v>
          </cell>
        </row>
      </sheetData>
      <sheetData sheetId="326">
        <row r="1">
          <cell r="A1">
            <v>0</v>
          </cell>
        </row>
      </sheetData>
      <sheetData sheetId="327">
        <row r="1">
          <cell r="A1" t="str">
            <v>BILL OF QUANTITY</v>
          </cell>
        </row>
      </sheetData>
      <sheetData sheetId="328">
        <row r="1">
          <cell r="A1" t="str">
            <v>Estimate Section</v>
          </cell>
        </row>
      </sheetData>
      <sheetData sheetId="329">
        <row r="1">
          <cell r="A1" t="str">
            <v>Estimate Section</v>
          </cell>
        </row>
      </sheetData>
      <sheetData sheetId="330">
        <row r="1">
          <cell r="A1" t="str">
            <v>BILL OF QUANTITY</v>
          </cell>
        </row>
      </sheetData>
      <sheetData sheetId="331">
        <row r="1">
          <cell r="A1" t="str">
            <v>Estimate Section</v>
          </cell>
        </row>
      </sheetData>
      <sheetData sheetId="332">
        <row r="1">
          <cell r="A1">
            <v>0</v>
          </cell>
        </row>
      </sheetData>
      <sheetData sheetId="333">
        <row r="1">
          <cell r="A1" t="str">
            <v>BILL OF QUANTITY</v>
          </cell>
        </row>
      </sheetData>
      <sheetData sheetId="334" refreshError="1"/>
      <sheetData sheetId="335" refreshError="1"/>
      <sheetData sheetId="336">
        <row r="1">
          <cell r="A1" t="str">
            <v>WORKING SCHEDULE AND CASH-FLOW</v>
          </cell>
        </row>
      </sheetData>
      <sheetData sheetId="337">
        <row r="1">
          <cell r="A1" t="str">
            <v>WORKING SCHEDULE AND CASH-FLOW</v>
          </cell>
        </row>
      </sheetData>
      <sheetData sheetId="338">
        <row r="1">
          <cell r="A1" t="str">
            <v>WORKING SCHEDULE AND CASH-FLOW</v>
          </cell>
        </row>
      </sheetData>
      <sheetData sheetId="339">
        <row r="1">
          <cell r="A1" t="str">
            <v>Estimate Section</v>
          </cell>
        </row>
      </sheetData>
      <sheetData sheetId="340">
        <row r="1">
          <cell r="A1" t="str">
            <v>Estimate Section</v>
          </cell>
        </row>
      </sheetData>
      <sheetData sheetId="341">
        <row r="1">
          <cell r="A1" t="str">
            <v>Estimate Section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 t="str">
            <v>BILL OF QUANTITY</v>
          </cell>
        </row>
      </sheetData>
      <sheetData sheetId="344">
        <row r="1">
          <cell r="A1" t="str">
            <v>Estimate Section</v>
          </cell>
        </row>
      </sheetData>
      <sheetData sheetId="345">
        <row r="1">
          <cell r="A1">
            <v>0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 t="str">
            <v>BILL OF QUANTITY</v>
          </cell>
        </row>
      </sheetData>
      <sheetData sheetId="348">
        <row r="1">
          <cell r="A1" t="str">
            <v>Estimate Section</v>
          </cell>
        </row>
      </sheetData>
      <sheetData sheetId="349">
        <row r="1">
          <cell r="A1">
            <v>0</v>
          </cell>
        </row>
      </sheetData>
      <sheetData sheetId="350">
        <row r="1">
          <cell r="A1" t="str">
            <v>BILL OF QUANTITY</v>
          </cell>
        </row>
      </sheetData>
      <sheetData sheetId="351">
        <row r="1">
          <cell r="A1" t="str">
            <v>BILL OF QUANTITY</v>
          </cell>
        </row>
      </sheetData>
      <sheetData sheetId="352">
        <row r="1">
          <cell r="A1" t="str">
            <v>Estimate Section</v>
          </cell>
        </row>
      </sheetData>
      <sheetData sheetId="353">
        <row r="1">
          <cell r="A1" t="str">
            <v>BILL OF QUANTITY</v>
          </cell>
        </row>
      </sheetData>
      <sheetData sheetId="354">
        <row r="1">
          <cell r="A1" t="str">
            <v>Estimate Section</v>
          </cell>
        </row>
      </sheetData>
      <sheetData sheetId="355">
        <row r="1">
          <cell r="A1" t="str">
            <v>BILL OF QUANTITY</v>
          </cell>
        </row>
      </sheetData>
      <sheetData sheetId="356" refreshError="1"/>
      <sheetData sheetId="357">
        <row r="1">
          <cell r="A1" t="str">
            <v>BILL OF QUANTITY</v>
          </cell>
        </row>
      </sheetData>
      <sheetData sheetId="358">
        <row r="1">
          <cell r="A1" t="str">
            <v>Estimate Section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>
        <row r="1">
          <cell r="A1" t="str">
            <v>Estimate Section</v>
          </cell>
        </row>
      </sheetData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>
        <row r="1">
          <cell r="A1">
            <v>0</v>
          </cell>
        </row>
      </sheetData>
      <sheetData sheetId="379">
        <row r="1">
          <cell r="A1" t="str">
            <v>BILL OF QUANTITY</v>
          </cell>
        </row>
      </sheetData>
      <sheetData sheetId="380">
        <row r="1">
          <cell r="A1">
            <v>0</v>
          </cell>
        </row>
      </sheetData>
      <sheetData sheetId="381">
        <row r="1">
          <cell r="A1">
            <v>0</v>
          </cell>
        </row>
      </sheetData>
      <sheetData sheetId="382">
        <row r="1">
          <cell r="A1">
            <v>0</v>
          </cell>
        </row>
      </sheetData>
      <sheetData sheetId="383">
        <row r="1">
          <cell r="A1" t="str">
            <v>BILL OF QUANTITY</v>
          </cell>
        </row>
      </sheetData>
      <sheetData sheetId="384">
        <row r="1">
          <cell r="A1" t="str">
            <v>BILL OF QUANTITY</v>
          </cell>
        </row>
      </sheetData>
      <sheetData sheetId="385">
        <row r="1">
          <cell r="A1">
            <v>0</v>
          </cell>
        </row>
      </sheetData>
      <sheetData sheetId="386">
        <row r="1">
          <cell r="A1">
            <v>0</v>
          </cell>
        </row>
      </sheetData>
      <sheetData sheetId="387">
        <row r="1">
          <cell r="A1" t="str">
            <v>BILL OF QUANTITY</v>
          </cell>
        </row>
      </sheetData>
      <sheetData sheetId="388">
        <row r="1">
          <cell r="A1" t="str">
            <v>รายงานความก้าวหน้าของงานโครงสร้าง Construction</v>
          </cell>
        </row>
      </sheetData>
      <sheetData sheetId="389" refreshError="1"/>
      <sheetData sheetId="390">
        <row r="1">
          <cell r="A1">
            <v>0</v>
          </cell>
        </row>
      </sheetData>
      <sheetData sheetId="391">
        <row r="1">
          <cell r="A1">
            <v>0</v>
          </cell>
        </row>
      </sheetData>
      <sheetData sheetId="392">
        <row r="1">
          <cell r="A1" t="str">
            <v>Estimate Section</v>
          </cell>
        </row>
      </sheetData>
      <sheetData sheetId="393">
        <row r="1">
          <cell r="A1" t="str">
            <v>BILL OF QUANTITY</v>
          </cell>
        </row>
      </sheetData>
      <sheetData sheetId="394">
        <row r="1">
          <cell r="A1" t="str">
            <v>Estimate Section</v>
          </cell>
        </row>
      </sheetData>
      <sheetData sheetId="395">
        <row r="1">
          <cell r="A1" t="str">
            <v>BILL OF QUANTITY</v>
          </cell>
        </row>
      </sheetData>
      <sheetData sheetId="396">
        <row r="1">
          <cell r="A1" t="str">
            <v>BILL OF QUANTITY</v>
          </cell>
        </row>
      </sheetData>
      <sheetData sheetId="397">
        <row r="1">
          <cell r="A1">
            <v>0</v>
          </cell>
        </row>
      </sheetData>
      <sheetData sheetId="398">
        <row r="1">
          <cell r="A1" t="str">
            <v>Estimate Section</v>
          </cell>
        </row>
      </sheetData>
      <sheetData sheetId="399">
        <row r="1">
          <cell r="A1">
            <v>0</v>
          </cell>
        </row>
      </sheetData>
      <sheetData sheetId="400">
        <row r="1">
          <cell r="A1" t="str">
            <v>รายงานความก้าวหน้าของงานโครงสร้าง Construction</v>
          </cell>
        </row>
      </sheetData>
      <sheetData sheetId="401">
        <row r="1">
          <cell r="A1" t="str">
            <v>รายงานความก้าวหน้าของงานโครงสร้าง Construction</v>
          </cell>
        </row>
      </sheetData>
      <sheetData sheetId="402">
        <row r="1">
          <cell r="A1" t="str">
            <v>BILL OF QUANTITY</v>
          </cell>
        </row>
      </sheetData>
      <sheetData sheetId="403">
        <row r="1">
          <cell r="A1">
            <v>0</v>
          </cell>
        </row>
      </sheetData>
      <sheetData sheetId="404">
        <row r="1">
          <cell r="A1">
            <v>0</v>
          </cell>
        </row>
      </sheetData>
      <sheetData sheetId="405">
        <row r="1">
          <cell r="A1" t="str">
            <v>BILL OF QUANTITY</v>
          </cell>
        </row>
      </sheetData>
      <sheetData sheetId="406">
        <row r="1">
          <cell r="A1" t="str">
            <v>Estimate Section</v>
          </cell>
        </row>
      </sheetData>
      <sheetData sheetId="407">
        <row r="1">
          <cell r="A1" t="str">
            <v>รายงานความก้าวหน้าของงานโครงสร้าง Construction</v>
          </cell>
        </row>
      </sheetData>
      <sheetData sheetId="408">
        <row r="1">
          <cell r="A1" t="str">
            <v>Estimate Section</v>
          </cell>
        </row>
      </sheetData>
      <sheetData sheetId="409">
        <row r="1">
          <cell r="A1" t="str">
            <v>BILL OF QUANTITY</v>
          </cell>
        </row>
      </sheetData>
      <sheetData sheetId="410">
        <row r="1">
          <cell r="A1">
            <v>0</v>
          </cell>
        </row>
      </sheetData>
      <sheetData sheetId="411">
        <row r="1">
          <cell r="A1" t="str">
            <v>BILL OF QUANTITY</v>
          </cell>
        </row>
      </sheetData>
      <sheetData sheetId="412">
        <row r="1">
          <cell r="A1">
            <v>0</v>
          </cell>
        </row>
      </sheetData>
      <sheetData sheetId="413">
        <row r="1">
          <cell r="A1" t="str">
            <v>BILL OF QUANTITY</v>
          </cell>
        </row>
      </sheetData>
      <sheetData sheetId="414">
        <row r="1">
          <cell r="A1" t="str">
            <v>รายงานความก้าวหน้าของงานโครงสร้าง Construction</v>
          </cell>
        </row>
      </sheetData>
      <sheetData sheetId="415">
        <row r="1">
          <cell r="A1" t="str">
            <v>BILL OF QUANTITY</v>
          </cell>
        </row>
      </sheetData>
      <sheetData sheetId="416">
        <row r="1">
          <cell r="A1" t="str">
            <v>BILL OF QUANTITY</v>
          </cell>
        </row>
      </sheetData>
      <sheetData sheetId="417">
        <row r="1">
          <cell r="A1" t="str">
            <v>BILL OF QUANTITY</v>
          </cell>
        </row>
      </sheetData>
      <sheetData sheetId="418">
        <row r="1">
          <cell r="A1">
            <v>0</v>
          </cell>
        </row>
      </sheetData>
      <sheetData sheetId="419">
        <row r="1">
          <cell r="A1">
            <v>0</v>
          </cell>
        </row>
      </sheetData>
      <sheetData sheetId="420">
        <row r="1">
          <cell r="A1" t="str">
            <v>รายงานความก้าวหน้าของงานโครงสร้าง Construction</v>
          </cell>
        </row>
      </sheetData>
      <sheetData sheetId="421">
        <row r="1">
          <cell r="A1" t="str">
            <v>BILL OF QUANTITY</v>
          </cell>
        </row>
      </sheetData>
      <sheetData sheetId="422">
        <row r="1">
          <cell r="A1" t="str">
            <v>BILL OF QUANTITY</v>
          </cell>
        </row>
      </sheetData>
      <sheetData sheetId="423">
        <row r="1">
          <cell r="A1" t="str">
            <v>Estimate Section</v>
          </cell>
        </row>
      </sheetData>
      <sheetData sheetId="424">
        <row r="1">
          <cell r="A1" t="str">
            <v>Estimate Section</v>
          </cell>
        </row>
      </sheetData>
      <sheetData sheetId="425">
        <row r="1">
          <cell r="A1">
            <v>0</v>
          </cell>
        </row>
      </sheetData>
      <sheetData sheetId="426">
        <row r="1">
          <cell r="A1">
            <v>0</v>
          </cell>
        </row>
      </sheetData>
      <sheetData sheetId="427">
        <row r="1">
          <cell r="A1" t="str">
            <v>BILL OF QUANTITY</v>
          </cell>
        </row>
      </sheetData>
      <sheetData sheetId="428">
        <row r="1">
          <cell r="A1" t="str">
            <v>Estimate Section</v>
          </cell>
        </row>
      </sheetData>
      <sheetData sheetId="429">
        <row r="1">
          <cell r="A1" t="str">
            <v>Estimate Section</v>
          </cell>
        </row>
      </sheetData>
      <sheetData sheetId="430">
        <row r="1">
          <cell r="A1" t="str">
            <v>BILL OF QUANTITY</v>
          </cell>
        </row>
      </sheetData>
      <sheetData sheetId="431">
        <row r="1">
          <cell r="A1" t="str">
            <v>BILL OF QUANTITY</v>
          </cell>
        </row>
      </sheetData>
      <sheetData sheetId="432">
        <row r="1">
          <cell r="A1">
            <v>0</v>
          </cell>
        </row>
      </sheetData>
      <sheetData sheetId="433">
        <row r="1">
          <cell r="A1">
            <v>0</v>
          </cell>
        </row>
      </sheetData>
      <sheetData sheetId="434">
        <row r="1">
          <cell r="A1" t="str">
            <v>Estimate Section</v>
          </cell>
        </row>
      </sheetData>
      <sheetData sheetId="435">
        <row r="1">
          <cell r="A1">
            <v>0</v>
          </cell>
        </row>
      </sheetData>
      <sheetData sheetId="436">
        <row r="1">
          <cell r="A1" t="str">
            <v>Estimate Section</v>
          </cell>
        </row>
      </sheetData>
      <sheetData sheetId="437">
        <row r="1">
          <cell r="A1" t="str">
            <v>BILL OF QUANTITY</v>
          </cell>
        </row>
      </sheetData>
      <sheetData sheetId="438">
        <row r="1">
          <cell r="A1" t="str">
            <v>BILL OF QUANTITY</v>
          </cell>
        </row>
      </sheetData>
      <sheetData sheetId="439">
        <row r="1">
          <cell r="A1" t="str">
            <v>Estimate Section</v>
          </cell>
        </row>
      </sheetData>
      <sheetData sheetId="440">
        <row r="1">
          <cell r="A1">
            <v>0</v>
          </cell>
        </row>
      </sheetData>
      <sheetData sheetId="441">
        <row r="1">
          <cell r="A1" t="str">
            <v>BILL OF QUANTITY</v>
          </cell>
        </row>
      </sheetData>
      <sheetData sheetId="442">
        <row r="1">
          <cell r="A1" t="str">
            <v>Estimate Section</v>
          </cell>
        </row>
      </sheetData>
      <sheetData sheetId="443">
        <row r="1">
          <cell r="A1">
            <v>0</v>
          </cell>
        </row>
      </sheetData>
      <sheetData sheetId="444">
        <row r="1">
          <cell r="A1" t="str">
            <v>BILL OF QUANTITY</v>
          </cell>
        </row>
      </sheetData>
      <sheetData sheetId="445">
        <row r="1">
          <cell r="A1" t="str">
            <v>BILL OF QUANTITY</v>
          </cell>
        </row>
      </sheetData>
      <sheetData sheetId="446">
        <row r="1">
          <cell r="A1">
            <v>0</v>
          </cell>
        </row>
      </sheetData>
      <sheetData sheetId="447">
        <row r="1">
          <cell r="A1" t="str">
            <v>BILL OF QUANTITY</v>
          </cell>
        </row>
      </sheetData>
      <sheetData sheetId="448">
        <row r="1">
          <cell r="A1" t="str">
            <v>Estimate Section</v>
          </cell>
        </row>
      </sheetData>
      <sheetData sheetId="449">
        <row r="1">
          <cell r="A1" t="str">
            <v>BILL OF QUANTITY</v>
          </cell>
        </row>
      </sheetData>
      <sheetData sheetId="450">
        <row r="1">
          <cell r="A1" t="str">
            <v>Estimate Section</v>
          </cell>
        </row>
      </sheetData>
      <sheetData sheetId="451">
        <row r="1">
          <cell r="A1">
            <v>0</v>
          </cell>
        </row>
      </sheetData>
      <sheetData sheetId="452">
        <row r="1">
          <cell r="A1" t="str">
            <v>BILL OF QUANTITY</v>
          </cell>
        </row>
      </sheetData>
      <sheetData sheetId="453">
        <row r="1">
          <cell r="A1" t="str">
            <v>BILL OF QUANTITY</v>
          </cell>
        </row>
      </sheetData>
      <sheetData sheetId="454">
        <row r="1">
          <cell r="A1">
            <v>0</v>
          </cell>
        </row>
      </sheetData>
      <sheetData sheetId="455">
        <row r="1">
          <cell r="A1" t="str">
            <v>BILL OF QUANTITY</v>
          </cell>
        </row>
      </sheetData>
      <sheetData sheetId="456">
        <row r="1">
          <cell r="A1" t="str">
            <v>BILL OF QUANTITY</v>
          </cell>
        </row>
      </sheetData>
      <sheetData sheetId="457">
        <row r="1">
          <cell r="A1" t="str">
            <v>BILL OF QUANTITY</v>
          </cell>
        </row>
      </sheetData>
      <sheetData sheetId="458">
        <row r="1">
          <cell r="A1" t="str">
            <v>BILL OF QUANTITY</v>
          </cell>
        </row>
      </sheetData>
      <sheetData sheetId="459">
        <row r="1">
          <cell r="A1">
            <v>0</v>
          </cell>
        </row>
      </sheetData>
      <sheetData sheetId="460">
        <row r="1">
          <cell r="A1" t="str">
            <v>Estimate Section</v>
          </cell>
        </row>
      </sheetData>
      <sheetData sheetId="461">
        <row r="1">
          <cell r="A1" t="str">
            <v>BILL OF QUANTITY</v>
          </cell>
        </row>
      </sheetData>
      <sheetData sheetId="462">
        <row r="1">
          <cell r="A1" t="str">
            <v>BILL OF QUANTITY</v>
          </cell>
        </row>
      </sheetData>
      <sheetData sheetId="463">
        <row r="1">
          <cell r="A1">
            <v>0</v>
          </cell>
        </row>
      </sheetData>
      <sheetData sheetId="464">
        <row r="1">
          <cell r="A1" t="str">
            <v>BILL OF QUANTITY</v>
          </cell>
        </row>
      </sheetData>
      <sheetData sheetId="465">
        <row r="1">
          <cell r="A1" t="str">
            <v>BILL OF QUANTITY</v>
          </cell>
        </row>
      </sheetData>
      <sheetData sheetId="466">
        <row r="1">
          <cell r="A1" t="str">
            <v>BILL OF QUANTITY</v>
          </cell>
        </row>
      </sheetData>
      <sheetData sheetId="467">
        <row r="1">
          <cell r="A1" t="str">
            <v>Estimate Section</v>
          </cell>
        </row>
      </sheetData>
      <sheetData sheetId="468">
        <row r="1">
          <cell r="A1" t="str">
            <v>BILL OF QUANTITY</v>
          </cell>
        </row>
      </sheetData>
      <sheetData sheetId="469">
        <row r="1">
          <cell r="A1" t="str">
            <v>BILL OF QUANTITY</v>
          </cell>
        </row>
      </sheetData>
      <sheetData sheetId="470">
        <row r="1">
          <cell r="A1" t="str">
            <v>BILL OF QUANTITY</v>
          </cell>
        </row>
      </sheetData>
      <sheetData sheetId="471">
        <row r="1">
          <cell r="A1" t="str">
            <v>Estimate Section</v>
          </cell>
        </row>
      </sheetData>
      <sheetData sheetId="472">
        <row r="1">
          <cell r="A1" t="str">
            <v>BILL OF QUANTITY</v>
          </cell>
        </row>
      </sheetData>
      <sheetData sheetId="473">
        <row r="1">
          <cell r="A1" t="str">
            <v>BILL OF QUANTITY</v>
          </cell>
        </row>
      </sheetData>
      <sheetData sheetId="474">
        <row r="1">
          <cell r="A1" t="str">
            <v>รายงานความก้าวหน้าของงานโครงสร้าง Construction</v>
          </cell>
        </row>
      </sheetData>
      <sheetData sheetId="475">
        <row r="1">
          <cell r="A1" t="str">
            <v>BILL OF QUANTITY</v>
          </cell>
        </row>
      </sheetData>
      <sheetData sheetId="476">
        <row r="1">
          <cell r="A1">
            <v>0</v>
          </cell>
        </row>
      </sheetData>
      <sheetData sheetId="477">
        <row r="1">
          <cell r="A1" t="str">
            <v>BILL OF QUANTITY</v>
          </cell>
        </row>
      </sheetData>
      <sheetData sheetId="478">
        <row r="1">
          <cell r="A1">
            <v>0</v>
          </cell>
        </row>
      </sheetData>
      <sheetData sheetId="479">
        <row r="1">
          <cell r="A1">
            <v>0</v>
          </cell>
        </row>
      </sheetData>
      <sheetData sheetId="480">
        <row r="1">
          <cell r="A1" t="str">
            <v>BILL OF QUANTITY</v>
          </cell>
        </row>
      </sheetData>
      <sheetData sheetId="481">
        <row r="1">
          <cell r="A1" t="str">
            <v>BILL OF QUANTITY</v>
          </cell>
        </row>
      </sheetData>
      <sheetData sheetId="482">
        <row r="1">
          <cell r="A1" t="str">
            <v>BILL OF QUANTITY</v>
          </cell>
        </row>
      </sheetData>
      <sheetData sheetId="483">
        <row r="1">
          <cell r="A1" t="str">
            <v>BILL OF QUANTITY</v>
          </cell>
        </row>
      </sheetData>
      <sheetData sheetId="484">
        <row r="1">
          <cell r="A1">
            <v>0</v>
          </cell>
        </row>
      </sheetData>
      <sheetData sheetId="485">
        <row r="1">
          <cell r="A1" t="str">
            <v>BILL OF QUANTITY</v>
          </cell>
        </row>
      </sheetData>
      <sheetData sheetId="486">
        <row r="1">
          <cell r="A1">
            <v>0</v>
          </cell>
        </row>
      </sheetData>
      <sheetData sheetId="487">
        <row r="1">
          <cell r="A1" t="str">
            <v>BILL OF QUANTITY</v>
          </cell>
        </row>
      </sheetData>
      <sheetData sheetId="488">
        <row r="1">
          <cell r="A1">
            <v>0</v>
          </cell>
        </row>
      </sheetData>
      <sheetData sheetId="489">
        <row r="1">
          <cell r="A1" t="str">
            <v>BILL OF QUANTITY</v>
          </cell>
        </row>
      </sheetData>
      <sheetData sheetId="490">
        <row r="1">
          <cell r="A1" t="str">
            <v>Estimate Section</v>
          </cell>
        </row>
      </sheetData>
      <sheetData sheetId="491">
        <row r="1">
          <cell r="A1" t="str">
            <v>BILL OF QUANTITY</v>
          </cell>
        </row>
      </sheetData>
      <sheetData sheetId="492">
        <row r="1">
          <cell r="A1">
            <v>0</v>
          </cell>
        </row>
      </sheetData>
      <sheetData sheetId="493">
        <row r="1">
          <cell r="A1" t="str">
            <v>BILL OF QUANTITY</v>
          </cell>
        </row>
      </sheetData>
      <sheetData sheetId="494">
        <row r="1">
          <cell r="A1" t="str">
            <v>Estimate Section</v>
          </cell>
        </row>
      </sheetData>
      <sheetData sheetId="495">
        <row r="1">
          <cell r="A1">
            <v>0</v>
          </cell>
        </row>
      </sheetData>
      <sheetData sheetId="496">
        <row r="1">
          <cell r="A1" t="str">
            <v>BILL OF QUANTITY</v>
          </cell>
        </row>
      </sheetData>
      <sheetData sheetId="497">
        <row r="1">
          <cell r="A1" t="str">
            <v>Estimate Section</v>
          </cell>
        </row>
      </sheetData>
      <sheetData sheetId="498">
        <row r="1">
          <cell r="A1" t="str">
            <v>BILL OF QUANTITY</v>
          </cell>
        </row>
      </sheetData>
      <sheetData sheetId="499">
        <row r="1">
          <cell r="A1">
            <v>0</v>
          </cell>
        </row>
      </sheetData>
      <sheetData sheetId="500">
        <row r="1">
          <cell r="A1" t="str">
            <v>Estimate Section</v>
          </cell>
        </row>
      </sheetData>
      <sheetData sheetId="501">
        <row r="1">
          <cell r="A1">
            <v>0</v>
          </cell>
        </row>
      </sheetData>
      <sheetData sheetId="502">
        <row r="1">
          <cell r="A1" t="str">
            <v>BILL OF QUANTITY</v>
          </cell>
        </row>
      </sheetData>
      <sheetData sheetId="503">
        <row r="1">
          <cell r="A1" t="str">
            <v>Estimate Section</v>
          </cell>
        </row>
      </sheetData>
      <sheetData sheetId="504">
        <row r="1">
          <cell r="A1" t="str">
            <v>BILL OF QUANTITY</v>
          </cell>
        </row>
      </sheetData>
      <sheetData sheetId="505">
        <row r="1">
          <cell r="A1">
            <v>0</v>
          </cell>
        </row>
      </sheetData>
      <sheetData sheetId="506">
        <row r="1">
          <cell r="A1" t="str">
            <v>BILL OF QUANTITY</v>
          </cell>
        </row>
      </sheetData>
      <sheetData sheetId="507">
        <row r="1">
          <cell r="A1" t="str">
            <v>BILL OF QUANTITY</v>
          </cell>
        </row>
      </sheetData>
      <sheetData sheetId="508">
        <row r="1">
          <cell r="A1" t="str">
            <v>BILL OF QUANTITY</v>
          </cell>
        </row>
      </sheetData>
      <sheetData sheetId="509">
        <row r="1">
          <cell r="A1" t="str">
            <v>Estimate Section</v>
          </cell>
        </row>
      </sheetData>
      <sheetData sheetId="510">
        <row r="1">
          <cell r="A1">
            <v>0</v>
          </cell>
        </row>
      </sheetData>
      <sheetData sheetId="511">
        <row r="1">
          <cell r="A1" t="str">
            <v>BILL OF QUANTITY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>
        <row r="1">
          <cell r="A1" t="str">
            <v>Estimate Section</v>
          </cell>
        </row>
      </sheetData>
      <sheetData sheetId="517">
        <row r="1">
          <cell r="A1" t="str">
            <v>BILL OF QUANTITY</v>
          </cell>
        </row>
      </sheetData>
      <sheetData sheetId="518">
        <row r="1">
          <cell r="A1">
            <v>0</v>
          </cell>
        </row>
      </sheetData>
      <sheetData sheetId="519">
        <row r="1">
          <cell r="A1">
            <v>0</v>
          </cell>
        </row>
      </sheetData>
      <sheetData sheetId="520">
        <row r="1">
          <cell r="A1">
            <v>0</v>
          </cell>
        </row>
      </sheetData>
      <sheetData sheetId="521">
        <row r="1">
          <cell r="A1" t="str">
            <v>BILL OF QUANTITY</v>
          </cell>
        </row>
      </sheetData>
      <sheetData sheetId="522">
        <row r="1">
          <cell r="A1" t="str">
            <v>BILL OF QUANTITY</v>
          </cell>
        </row>
      </sheetData>
      <sheetData sheetId="523">
        <row r="1">
          <cell r="A1" t="str">
            <v>BILL OF QUANTITY</v>
          </cell>
        </row>
      </sheetData>
      <sheetData sheetId="524">
        <row r="1">
          <cell r="A1" t="str">
            <v>BILL OF QUANTITY</v>
          </cell>
        </row>
      </sheetData>
      <sheetData sheetId="525">
        <row r="1">
          <cell r="A1" t="str">
            <v>Estimate Section</v>
          </cell>
        </row>
      </sheetData>
      <sheetData sheetId="526">
        <row r="1">
          <cell r="A1">
            <v>0</v>
          </cell>
        </row>
      </sheetData>
      <sheetData sheetId="527">
        <row r="1">
          <cell r="A1" t="str">
            <v>BILL OF QUANTITY</v>
          </cell>
        </row>
      </sheetData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>
        <row r="1">
          <cell r="A1">
            <v>0</v>
          </cell>
        </row>
      </sheetData>
      <sheetData sheetId="540" refreshError="1"/>
      <sheetData sheetId="541" refreshError="1"/>
      <sheetData sheetId="542">
        <row r="1">
          <cell r="A1" t="str">
            <v>Estimate Section</v>
          </cell>
        </row>
      </sheetData>
      <sheetData sheetId="543">
        <row r="1">
          <cell r="A1" t="str">
            <v>Estimate Section</v>
          </cell>
        </row>
      </sheetData>
      <sheetData sheetId="544">
        <row r="1">
          <cell r="A1">
            <v>0</v>
          </cell>
        </row>
      </sheetData>
      <sheetData sheetId="545">
        <row r="1">
          <cell r="A1">
            <v>0</v>
          </cell>
        </row>
      </sheetData>
      <sheetData sheetId="546">
        <row r="1">
          <cell r="A1" t="str">
            <v>รายงานความก้าวหน้าของงานโครงสร้าง Construction</v>
          </cell>
        </row>
      </sheetData>
      <sheetData sheetId="547">
        <row r="1">
          <cell r="A1" t="str">
            <v>BILL OF QUANTITY</v>
          </cell>
        </row>
      </sheetData>
      <sheetData sheetId="548">
        <row r="1">
          <cell r="A1" t="str">
            <v>BILL OF QUANTITY</v>
          </cell>
        </row>
      </sheetData>
      <sheetData sheetId="549">
        <row r="1">
          <cell r="A1" t="str">
            <v>BILL OF QUANTITY</v>
          </cell>
        </row>
      </sheetData>
      <sheetData sheetId="550">
        <row r="1">
          <cell r="A1" t="str">
            <v>Estimate Section</v>
          </cell>
        </row>
      </sheetData>
      <sheetData sheetId="551">
        <row r="1">
          <cell r="A1">
            <v>0</v>
          </cell>
        </row>
      </sheetData>
      <sheetData sheetId="552">
        <row r="1">
          <cell r="A1" t="str">
            <v>BILL OF QUANTITY</v>
          </cell>
        </row>
      </sheetData>
      <sheetData sheetId="553">
        <row r="1">
          <cell r="A1" t="str">
            <v>BILL OF QUANTITY</v>
          </cell>
        </row>
      </sheetData>
      <sheetData sheetId="554">
        <row r="1">
          <cell r="A1" t="str">
            <v>Estimate Section</v>
          </cell>
        </row>
      </sheetData>
      <sheetData sheetId="555">
        <row r="1">
          <cell r="A1" t="str">
            <v>BILL OF QUANTITY</v>
          </cell>
        </row>
      </sheetData>
      <sheetData sheetId="556" refreshError="1"/>
      <sheetData sheetId="557" refreshError="1"/>
      <sheetData sheetId="558">
        <row r="1">
          <cell r="A1">
            <v>0</v>
          </cell>
        </row>
      </sheetData>
      <sheetData sheetId="559">
        <row r="1">
          <cell r="A1">
            <v>0</v>
          </cell>
        </row>
      </sheetData>
      <sheetData sheetId="560">
        <row r="1">
          <cell r="A1" t="str">
            <v>BILL OF QUANTITY</v>
          </cell>
        </row>
      </sheetData>
      <sheetData sheetId="561">
        <row r="1">
          <cell r="A1" t="str">
            <v>BILL OF QUANTITY</v>
          </cell>
        </row>
      </sheetData>
      <sheetData sheetId="562">
        <row r="1">
          <cell r="A1" t="str">
            <v>Estimate Section</v>
          </cell>
        </row>
      </sheetData>
      <sheetData sheetId="563">
        <row r="1">
          <cell r="A1" t="str">
            <v>BILL OF QUANTITY</v>
          </cell>
        </row>
      </sheetData>
      <sheetData sheetId="564">
        <row r="1">
          <cell r="A1" t="str">
            <v>Estimate Section</v>
          </cell>
        </row>
      </sheetData>
      <sheetData sheetId="565">
        <row r="1">
          <cell r="A1" t="str">
            <v>BILL OF QUANTITY</v>
          </cell>
        </row>
      </sheetData>
      <sheetData sheetId="566">
        <row r="1">
          <cell r="A1" t="str">
            <v>BILL OF QUANTITY</v>
          </cell>
        </row>
      </sheetData>
      <sheetData sheetId="567">
        <row r="1">
          <cell r="A1">
            <v>0</v>
          </cell>
        </row>
      </sheetData>
      <sheetData sheetId="568">
        <row r="1">
          <cell r="A1" t="str">
            <v>BILL OF QUANTITY</v>
          </cell>
        </row>
      </sheetData>
      <sheetData sheetId="569">
        <row r="1">
          <cell r="A1" t="str">
            <v>BILL OF QUANTITY</v>
          </cell>
        </row>
      </sheetData>
      <sheetData sheetId="570">
        <row r="1">
          <cell r="A1" t="str">
            <v>Estimate Section</v>
          </cell>
        </row>
      </sheetData>
      <sheetData sheetId="571">
        <row r="1">
          <cell r="A1" t="str">
            <v>BILL OF QUANTITY</v>
          </cell>
        </row>
      </sheetData>
      <sheetData sheetId="572">
        <row r="1">
          <cell r="A1" t="str">
            <v>BILL OF QUANTITY</v>
          </cell>
        </row>
      </sheetData>
      <sheetData sheetId="573">
        <row r="1">
          <cell r="A1" t="str">
            <v>Estimate Section</v>
          </cell>
        </row>
      </sheetData>
      <sheetData sheetId="574">
        <row r="1">
          <cell r="A1" t="str">
            <v>รายงานความก้าวหน้าของงานโครงสร้าง Construction</v>
          </cell>
        </row>
      </sheetData>
      <sheetData sheetId="575">
        <row r="1">
          <cell r="A1" t="str">
            <v>BILL OF QUANTITY</v>
          </cell>
        </row>
      </sheetData>
      <sheetData sheetId="576">
        <row r="1">
          <cell r="A1" t="str">
            <v>Estimate Section</v>
          </cell>
        </row>
      </sheetData>
      <sheetData sheetId="577">
        <row r="1">
          <cell r="A1" t="str">
            <v>BILL OF QUANTITY</v>
          </cell>
        </row>
      </sheetData>
      <sheetData sheetId="578">
        <row r="1">
          <cell r="A1" t="str">
            <v>Estimate Section</v>
          </cell>
        </row>
      </sheetData>
      <sheetData sheetId="579">
        <row r="1">
          <cell r="A1" t="str">
            <v>Estimate Section</v>
          </cell>
        </row>
      </sheetData>
      <sheetData sheetId="580">
        <row r="1">
          <cell r="A1">
            <v>0</v>
          </cell>
        </row>
      </sheetData>
      <sheetData sheetId="581">
        <row r="1">
          <cell r="A1" t="str">
            <v>BILL OF QUANTITY</v>
          </cell>
        </row>
      </sheetData>
      <sheetData sheetId="582">
        <row r="1">
          <cell r="A1" t="str">
            <v>BILL OF QUANTITY</v>
          </cell>
        </row>
      </sheetData>
      <sheetData sheetId="583">
        <row r="1">
          <cell r="A1" t="str">
            <v>BILL OF QUANTITY</v>
          </cell>
        </row>
      </sheetData>
      <sheetData sheetId="584">
        <row r="1">
          <cell r="A1" t="str">
            <v>Estimate Section</v>
          </cell>
        </row>
      </sheetData>
      <sheetData sheetId="585">
        <row r="1">
          <cell r="A1" t="str">
            <v>Estimate Section</v>
          </cell>
        </row>
      </sheetData>
      <sheetData sheetId="586">
        <row r="1">
          <cell r="A1" t="str">
            <v>BILL OF QUANTITY</v>
          </cell>
        </row>
      </sheetData>
      <sheetData sheetId="587">
        <row r="1">
          <cell r="A1" t="str">
            <v>Estimate Section</v>
          </cell>
        </row>
      </sheetData>
      <sheetData sheetId="588">
        <row r="1">
          <cell r="A1" t="str">
            <v>BILL OF QUANTITY</v>
          </cell>
        </row>
      </sheetData>
      <sheetData sheetId="589">
        <row r="1">
          <cell r="A1" t="str">
            <v>BILL OF QUANTITY</v>
          </cell>
        </row>
      </sheetData>
      <sheetData sheetId="590">
        <row r="1">
          <cell r="A1" t="str">
            <v>BILL OF QUANTITY</v>
          </cell>
        </row>
      </sheetData>
      <sheetData sheetId="591">
        <row r="1">
          <cell r="A1" t="str">
            <v>Estimate Section</v>
          </cell>
        </row>
      </sheetData>
      <sheetData sheetId="592">
        <row r="1">
          <cell r="A1" t="str">
            <v>BILL OF QUANTITY</v>
          </cell>
        </row>
      </sheetData>
      <sheetData sheetId="593">
        <row r="1">
          <cell r="A1" t="str">
            <v>Estimate Section</v>
          </cell>
        </row>
      </sheetData>
      <sheetData sheetId="594">
        <row r="1">
          <cell r="A1" t="str">
            <v>Estimate Section</v>
          </cell>
        </row>
      </sheetData>
      <sheetData sheetId="595">
        <row r="1">
          <cell r="A1">
            <v>0</v>
          </cell>
        </row>
      </sheetData>
      <sheetData sheetId="596">
        <row r="1">
          <cell r="A1" t="str">
            <v>BILL OF QUANTITY</v>
          </cell>
        </row>
      </sheetData>
      <sheetData sheetId="597">
        <row r="1">
          <cell r="A1" t="str">
            <v>Estimate Section</v>
          </cell>
        </row>
      </sheetData>
      <sheetData sheetId="598">
        <row r="1">
          <cell r="A1">
            <v>0</v>
          </cell>
        </row>
      </sheetData>
      <sheetData sheetId="599">
        <row r="1">
          <cell r="A1" t="str">
            <v>BILL OF QUANTITY</v>
          </cell>
        </row>
      </sheetData>
      <sheetData sheetId="600">
        <row r="1">
          <cell r="A1" t="str">
            <v>รายงานความก้าวหน้าของงานโครงสร้าง Construction</v>
          </cell>
        </row>
      </sheetData>
      <sheetData sheetId="601">
        <row r="1">
          <cell r="A1" t="str">
            <v>BILL OF QUANTITY</v>
          </cell>
        </row>
      </sheetData>
      <sheetData sheetId="602">
        <row r="1">
          <cell r="A1" t="str">
            <v>BILL OF QUANTITY</v>
          </cell>
        </row>
      </sheetData>
      <sheetData sheetId="603">
        <row r="1">
          <cell r="A1" t="str">
            <v>BILL OF QUANTITY</v>
          </cell>
        </row>
      </sheetData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1">
          <cell r="A1" t="str">
            <v>BILL OF QUANTITY</v>
          </cell>
        </row>
      </sheetData>
      <sheetData sheetId="646">
        <row r="1">
          <cell r="A1" t="str">
            <v>Estimate Section</v>
          </cell>
        </row>
      </sheetData>
      <sheetData sheetId="647">
        <row r="1">
          <cell r="A1" t="str">
            <v>BILL OF QUANTITY</v>
          </cell>
        </row>
      </sheetData>
      <sheetData sheetId="648">
        <row r="1">
          <cell r="A1">
            <v>0</v>
          </cell>
        </row>
      </sheetData>
      <sheetData sheetId="649">
        <row r="1">
          <cell r="A1" t="str">
            <v>Estimate Section</v>
          </cell>
        </row>
      </sheetData>
      <sheetData sheetId="650">
        <row r="1">
          <cell r="A1" t="str">
            <v>BILL OF QUANTITY</v>
          </cell>
        </row>
      </sheetData>
      <sheetData sheetId="651">
        <row r="1">
          <cell r="A1" t="str">
            <v>Estimate Section</v>
          </cell>
        </row>
      </sheetData>
      <sheetData sheetId="652">
        <row r="1">
          <cell r="A1" t="str">
            <v>Estimate Section</v>
          </cell>
        </row>
      </sheetData>
      <sheetData sheetId="653">
        <row r="1">
          <cell r="A1" t="str">
            <v>รายงานความก้าวหน้าของงานโครงสร้าง Construction</v>
          </cell>
        </row>
      </sheetData>
      <sheetData sheetId="654">
        <row r="1">
          <cell r="A1" t="str">
            <v>Estimate Section</v>
          </cell>
        </row>
      </sheetData>
      <sheetData sheetId="655">
        <row r="1">
          <cell r="A1" t="str">
            <v>รายงานความก้าวหน้าของงานโครงสร้าง Construction</v>
          </cell>
        </row>
      </sheetData>
      <sheetData sheetId="656">
        <row r="1">
          <cell r="A1" t="str">
            <v>BILL OF QUANTITY</v>
          </cell>
        </row>
      </sheetData>
      <sheetData sheetId="657">
        <row r="1">
          <cell r="A1" t="str">
            <v>Estimate Section</v>
          </cell>
        </row>
      </sheetData>
      <sheetData sheetId="658">
        <row r="1">
          <cell r="A1" t="str">
            <v>BILL OF QUANTITY</v>
          </cell>
        </row>
      </sheetData>
      <sheetData sheetId="659">
        <row r="1">
          <cell r="A1" t="str">
            <v>BILL OF QUANTITY</v>
          </cell>
        </row>
      </sheetData>
      <sheetData sheetId="660">
        <row r="1">
          <cell r="A1" t="str">
            <v>Estimate Section</v>
          </cell>
        </row>
      </sheetData>
      <sheetData sheetId="661">
        <row r="1">
          <cell r="A1" t="str">
            <v>BILL OF QUANTITY</v>
          </cell>
        </row>
      </sheetData>
      <sheetData sheetId="662">
        <row r="1">
          <cell r="A1" t="str">
            <v>BILL OF QUANTITY</v>
          </cell>
        </row>
      </sheetData>
      <sheetData sheetId="663">
        <row r="1">
          <cell r="A1" t="str">
            <v>BILL OF QUANTITY</v>
          </cell>
        </row>
      </sheetData>
      <sheetData sheetId="664">
        <row r="1">
          <cell r="A1" t="str">
            <v>Estimate Section</v>
          </cell>
        </row>
      </sheetData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>
        <row r="1">
          <cell r="A1">
            <v>0</v>
          </cell>
        </row>
      </sheetData>
      <sheetData sheetId="727">
        <row r="1">
          <cell r="A1" t="str">
            <v>Estimate Section</v>
          </cell>
        </row>
      </sheetData>
      <sheetData sheetId="728">
        <row r="1">
          <cell r="A1" t="str">
            <v>Estimate Section</v>
          </cell>
        </row>
      </sheetData>
      <sheetData sheetId="729">
        <row r="1">
          <cell r="A1" t="str">
            <v>Estimate Section</v>
          </cell>
        </row>
      </sheetData>
      <sheetData sheetId="730">
        <row r="1">
          <cell r="A1" t="str">
            <v>Estimate Section</v>
          </cell>
        </row>
      </sheetData>
      <sheetData sheetId="731">
        <row r="1">
          <cell r="A1" t="str">
            <v>BILL OF QUANTITY</v>
          </cell>
        </row>
      </sheetData>
      <sheetData sheetId="732">
        <row r="1">
          <cell r="A1" t="str">
            <v>Estimate Section</v>
          </cell>
        </row>
      </sheetData>
      <sheetData sheetId="733">
        <row r="1">
          <cell r="A1" t="str">
            <v>Estimate Section</v>
          </cell>
        </row>
      </sheetData>
      <sheetData sheetId="734">
        <row r="1">
          <cell r="A1" t="str">
            <v>Estimate Section</v>
          </cell>
        </row>
      </sheetData>
      <sheetData sheetId="735">
        <row r="1">
          <cell r="A1" t="str">
            <v>BILL OF QUANTITY</v>
          </cell>
        </row>
      </sheetData>
      <sheetData sheetId="736">
        <row r="1">
          <cell r="A1" t="str">
            <v>Estimate Section</v>
          </cell>
        </row>
      </sheetData>
      <sheetData sheetId="737">
        <row r="1">
          <cell r="A1" t="str">
            <v>BILL OF QUANTITY</v>
          </cell>
        </row>
      </sheetData>
      <sheetData sheetId="738">
        <row r="1">
          <cell r="A1" t="str">
            <v>BILL OF QUANTITY</v>
          </cell>
        </row>
      </sheetData>
      <sheetData sheetId="739">
        <row r="1">
          <cell r="A1" t="str">
            <v>Estimate Section</v>
          </cell>
        </row>
      </sheetData>
      <sheetData sheetId="740">
        <row r="1">
          <cell r="A1" t="str">
            <v>Estimate Section</v>
          </cell>
        </row>
      </sheetData>
      <sheetData sheetId="741">
        <row r="1">
          <cell r="A1" t="str">
            <v>BILL OF QUANTITY</v>
          </cell>
        </row>
      </sheetData>
      <sheetData sheetId="742">
        <row r="1">
          <cell r="A1" t="str">
            <v>BILL OF QUANTITY</v>
          </cell>
        </row>
      </sheetData>
      <sheetData sheetId="743">
        <row r="1">
          <cell r="A1" t="str">
            <v>Estimate Section</v>
          </cell>
        </row>
      </sheetData>
      <sheetData sheetId="744">
        <row r="1">
          <cell r="A1">
            <v>0</v>
          </cell>
        </row>
      </sheetData>
      <sheetData sheetId="745">
        <row r="1">
          <cell r="A1" t="str">
            <v>Estimate Section</v>
          </cell>
        </row>
      </sheetData>
      <sheetData sheetId="746">
        <row r="1">
          <cell r="A1" t="str">
            <v>BILL OF QUANTITY</v>
          </cell>
        </row>
      </sheetData>
      <sheetData sheetId="747">
        <row r="1">
          <cell r="A1" t="str">
            <v>WORKING SCHEDULE AND CASH-FLOW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FAB별"/>
      <sheetName val="1.맹암거관련"/>
      <sheetName val="TABLE"/>
      <sheetName val="일위대가목차"/>
      <sheetName val="ทำนบดิน"/>
      <sheetName val="name"/>
      <sheetName val="Book 1 Summary"/>
      <sheetName val="Factor F Data"/>
      <sheetName val="SUM-AIR-Submit"/>
      <sheetName val="factor"/>
      <sheetName val="#REF"/>
      <sheetName val="Imp_HDPE PN16"/>
      <sheetName val="Equipment"/>
      <sheetName val="Rate Breakdown"/>
      <sheetName val="FS"/>
      <sheetName val="ตารางส่วนลด EE."/>
      <sheetName val="6"/>
      <sheetName val="5"/>
      <sheetName val="TT35"/>
      <sheetName val="SILICATE"/>
      <sheetName val="FM-SAL-01-01 Cover "/>
      <sheetName val="Summary"/>
      <sheetName val="Sum-A (General)"/>
      <sheetName val="Sum-B (Demolish)"/>
      <sheetName val="Sum-C (Building 1)"/>
      <sheetName val="C1"/>
      <sheetName val="C2"/>
      <sheetName val="C3"/>
      <sheetName val="C4"/>
      <sheetName val="C5"/>
      <sheetName val="C6"/>
      <sheetName val="Sum-D (Building 1A)"/>
      <sheetName val="D1 "/>
      <sheetName val="D2"/>
      <sheetName val="D3"/>
      <sheetName val="D4 "/>
      <sheetName val="D5"/>
      <sheetName val="D6 "/>
      <sheetName val="Sum-E (Building 5)"/>
      <sheetName val="E1"/>
      <sheetName val="E1.1"/>
      <sheetName val="E1.2"/>
      <sheetName val="E1.3"/>
      <sheetName val="E1.4 "/>
      <sheetName val="E1.5"/>
      <sheetName val="E1.6 "/>
      <sheetName val="E2"/>
      <sheetName val="E2.1"/>
      <sheetName val="E2.2"/>
      <sheetName val="E2.3 "/>
      <sheetName val="E2.4"/>
      <sheetName val="E2.5"/>
      <sheetName val="E3"/>
      <sheetName val="E3.1"/>
      <sheetName val="E3.2"/>
      <sheetName val="E3.3"/>
      <sheetName val="E3.4"/>
      <sheetName val="E3.5"/>
      <sheetName val="E4"/>
      <sheetName val="E4.1"/>
      <sheetName val="E4.2"/>
      <sheetName val="E4.3"/>
      <sheetName val="E4.4"/>
      <sheetName val="E4.5 "/>
      <sheetName val="Sum-F (External)"/>
      <sheetName val="F1"/>
      <sheetName val="F1.1 "/>
      <sheetName val="F1.2 "/>
      <sheetName val="F1.3 "/>
      <sheetName val="F1.4 "/>
      <sheetName val="F2 "/>
      <sheetName val="F3"/>
      <sheetName val="F4 "/>
      <sheetName val="F5"/>
      <sheetName val="F6 "/>
      <sheetName val="F7"/>
      <sheetName val="OLD PRICES"/>
      <sheetName val="beam-reinft"/>
      <sheetName val="Option2-EGB+Electric Chill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ตกแต่งภายใน"/>
      <sheetName val="ระบบโสต"/>
      <sheetName val="ปก"/>
      <sheetName val="แก้ไขอาคาร"/>
      <sheetName val="แก้ไขภูมิทัศน์"/>
      <sheetName val="แก้ไขตกแต่งภายใน"/>
      <sheetName val="แก้ไขโสต"/>
      <sheetName val="ส่วนตัดออ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회로"/>
      <sheetName val="9회로-1"/>
      <sheetName val="8회로 전기"/>
      <sheetName val="8회로-1"/>
      <sheetName val="7회로"/>
      <sheetName val="6회로"/>
      <sheetName val="6회로-1"/>
      <sheetName val="5회로"/>
      <sheetName val="3회로"/>
      <sheetName val="2회로"/>
      <sheetName val="조명3전기2"/>
      <sheetName val="#REF"/>
      <sheetName val="7회로 15DIM 3RD"/>
      <sheetName val="35DIM 3D (2)"/>
      <sheetName val="18회로"/>
      <sheetName val="9회로 (2)"/>
      <sheetName val="10회로 조명"/>
      <sheetName val="7회로 조명"/>
      <sheetName val="조명3전기4 신형 (2)"/>
      <sheetName val="4회로"/>
      <sheetName val="조명3전기2 신형"/>
      <sheetName val="11CH50DIM6RD5"/>
      <sheetName val="14CH32DIM6RD5 (2)"/>
      <sheetName val="28회로"/>
      <sheetName val="8회로신형"/>
      <sheetName val="부산시사상구청"/>
      <sheetName val="18DIM5CH3D"/>
      <sheetName val="18DIM4CH3D (2)"/>
      <sheetName val="14DIM3DIR"/>
      <sheetName val="전기3회로dim8"/>
      <sheetName val="전기2회로dim9 (3)"/>
      <sheetName val="전기2회로dim8 (4)"/>
      <sheetName val="5CH8DIM3D"/>
      <sheetName val="5CH10DIM3D (2)"/>
      <sheetName val="18DIM6CH3D (2)"/>
      <sheetName val="내역서"/>
      <sheetName val="노무비"/>
      <sheetName val="MOTOR"/>
      <sheetName val="단가조사"/>
      <sheetName val="FAB별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단가"/>
      <sheetName val="99노임기준"/>
      <sheetName val="일위대가"/>
      <sheetName val="FAB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ROR_H9(TR1)"/>
      <sheetName val="MIROR_H15&lt;Face Life&gt;"/>
      <sheetName val="MIROR"/>
      <sheetName val="L.B._D&amp;W"/>
      <sheetName val="D&amp;W_Jamb_Casement"/>
      <sheetName val="D&amp;W_Accessories_Data"/>
      <sheetName val="D&amp;W_PRICE@"/>
      <sheetName val="D&amp;W_Accessories_Price"/>
      <sheetName val="D&amp;W_Price"/>
      <sheetName val="D64Z(H15 FL)"/>
      <sheetName val="_DD1&lt;SC8366&gt;"/>
      <sheetName val="_DF74YR&lt;SC8366&gt;"/>
      <sheetName val="D1"/>
      <sheetName val="D2"/>
      <sheetName val="D20D"/>
      <sheetName val="D21AR"/>
      <sheetName val="D64Z"/>
      <sheetName val="D74Z"/>
      <sheetName val="B1"/>
      <sheetName val="B1A"/>
      <sheetName val="HDF,HDF1"/>
      <sheetName val="A14Z"/>
      <sheetName val="A14ZA"/>
      <sheetName val="A14ZFBW"/>
      <sheetName val="A15ZRW"/>
      <sheetName val="A16Z"/>
      <sheetName val="A16ZA"/>
      <sheetName val="A16ZW"/>
      <sheetName val="A25ZFBW"/>
      <sheetName val="AF23ZA"/>
      <sheetName val="AF25ZV"/>
      <sheetName val="F46V"/>
      <sheetName val="F22V"/>
      <sheetName val="L32"/>
      <sheetName val="M15R"/>
      <sheetName val="W10Z"/>
      <sheetName val="W10ZA"/>
      <sheetName val="W11Y (YW4)"/>
      <sheetName val="W21ZF"/>
      <sheetName val="W22Z"/>
      <sheetName val="W22ZA"/>
      <sheetName val="W23Z"/>
      <sheetName val="W23ZXA"/>
      <sheetName val="W23 (EW2)"/>
      <sheetName val="W23Y (YW7A)"/>
      <sheetName val="W23YX (HW2)"/>
      <sheetName val="W24ZA"/>
      <sheetName val="W255Z"/>
      <sheetName val="W46Z"/>
      <sheetName val="W46ZA"/>
      <sheetName val="W46ZB"/>
      <sheetName val="W46ZBA"/>
      <sheetName val="W53Z"/>
      <sheetName val="_W54YGR&lt;SC8366&gt;"/>
      <sheetName val="Y3D3"/>
      <sheetName val="DS01R"/>
      <sheetName val="DS64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D3">
            <v>28</v>
          </cell>
        </row>
        <row r="4">
          <cell r="D4">
            <v>32</v>
          </cell>
        </row>
        <row r="5">
          <cell r="D5">
            <v>28</v>
          </cell>
        </row>
        <row r="6">
          <cell r="D6">
            <v>32</v>
          </cell>
        </row>
        <row r="11">
          <cell r="D11">
            <v>65</v>
          </cell>
        </row>
        <row r="12">
          <cell r="D12">
            <v>65</v>
          </cell>
        </row>
        <row r="17">
          <cell r="D17">
            <v>200</v>
          </cell>
        </row>
        <row r="18">
          <cell r="D18">
            <v>200</v>
          </cell>
        </row>
        <row r="19">
          <cell r="D19">
            <v>200</v>
          </cell>
        </row>
        <row r="23">
          <cell r="D23">
            <v>72.25</v>
          </cell>
        </row>
        <row r="25">
          <cell r="D25">
            <v>72.25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-P3 "/>
      <sheetName val="Sum"/>
      <sheetName val="Air-East"/>
      <sheetName val="Air-West"/>
      <sheetName val="Concourse-A"/>
      <sheetName val="Concourse-B"/>
      <sheetName val="Concourse-C"/>
      <sheetName val="Concourse-D"/>
      <sheetName val="Concourse-E"/>
      <sheetName val="Concourse-F"/>
      <sheetName val="Concourse-G"/>
      <sheetName val="Import"/>
      <sheetName val="code"/>
      <sheetName val="3-2551"/>
      <sheetName val="ค่าวัสดุ"/>
      <sheetName val="PGMMNG"/>
      <sheetName val="STMspry"/>
      <sheetName val="PsychroData"/>
      <sheetName val="Cavity Inputs"/>
      <sheetName val="เงินกู้ธนชาติ"/>
      <sheetName val="Material"/>
      <sheetName val="Book 1 Summary"/>
      <sheetName val="UTILITY"/>
      <sheetName val="splinkler"/>
      <sheetName val="SH-C"/>
      <sheetName val="SH-F"/>
      <sheetName val="SH-A"/>
      <sheetName val="JAN'09"/>
      <sheetName val="PACKAGE3"/>
      <sheetName val="DATA-P3_"/>
      <sheetName val="Sch3"/>
      <sheetName val="GAAP Pru"/>
      <sheetName val="SCP Q1'99 UPD"/>
      <sheetName val="Q4'98ACT"/>
      <sheetName val="Input"/>
      <sheetName val="Quotation"/>
      <sheetName val="DETAIL "/>
      <sheetName val="Assumption"/>
      <sheetName val="DATA-P3_1"/>
      <sheetName val="Cavity_Inputs"/>
      <sheetName val="Book_1_Summary"/>
      <sheetName val="รวมราคาก่อสร้าง"/>
      <sheetName val="DATA-P3_2"/>
      <sheetName val="Cavity_Inputs1"/>
      <sheetName val="Book_1_Summary1"/>
      <sheetName val="GAAP_Pru"/>
      <sheetName val="SCP_Q1'99_UPD"/>
      <sheetName val="DETAIL_"/>
      <sheetName val="Reference"/>
      <sheetName val="list"/>
      <sheetName val="IN"/>
      <sheetName val="Take-off stru"/>
      <sheetName val="Book_1_Summary2"/>
      <sheetName val="資料_700部品点数設定"/>
      <sheetName val="Main Sum (Hotel &amp; Residences)"/>
      <sheetName val="SAN REDUCED 1"/>
      <sheetName val="anaysis_sheet"/>
      <sheetName val="Purchase Order"/>
      <sheetName val="Customize Your Purchase Order"/>
      <sheetName val="산근"/>
      <sheetName val="Factory Cost"/>
      <sheetName val="Drop List"/>
      <sheetName val="Master"/>
      <sheetName val="AA"/>
      <sheetName val="Factor F Data"/>
      <sheetName val="Manpower"/>
      <sheetName val="data3"/>
      <sheetName val="boq"/>
      <sheetName val="7-Door&amp;window"/>
      <sheetName val="งานประปา"/>
      <sheetName val="C-LOAD(L-FACTORY.)"/>
      <sheetName val="C-LOAD(L-FACTORY_)"/>
      <sheetName val="Instructions"/>
      <sheetName val="GR55-2614"/>
      <sheetName val="GR55-3281"/>
      <sheetName val="GR55-2399"/>
      <sheetName val="GR55-3271"/>
      <sheetName val="GR55-5004"/>
      <sheetName val="GR55-5015"/>
      <sheetName val="gl"/>
      <sheetName val="mat เก่าใหม่"/>
      <sheetName val="JUNE1"/>
      <sheetName val="Q2-55"/>
      <sheetName val="Extra"/>
      <sheetName val="ตารางสรุปค่าปรับ"/>
      <sheetName val="ตารางสรุป"/>
      <sheetName val="Civil"/>
      <sheetName val="CM-TACE"/>
      <sheetName val="QS-AE Asia"/>
      <sheetName val="Syntec"/>
      <sheetName val="Syn-คชจ หัก Retention"/>
      <sheetName val="SYN-Final"/>
      <sheetName val="BM-final"/>
      <sheetName val="BT-Final"/>
      <sheetName val="BT-BM-Final"/>
      <sheetName val="AAG corp-ค่าวัสดุ"/>
      <sheetName val="AAG corp-งาน PO"/>
      <sheetName val="AAG facade-ค่าติดตั้ง"/>
      <sheetName val="AAG-Final"/>
      <sheetName val="Trane"/>
      <sheetName val="Trane-Final"/>
      <sheetName val=" LI-Otis"/>
      <sheetName val="Otis-Final"/>
      <sheetName val="จีแพลน-ค่าติดตั้งประตู"/>
      <sheetName val="Retention-จีแพลน"/>
      <sheetName val="ทอร์ช-งานประตู"/>
      <sheetName val="ทอร์ช-จีแพลน-Final"/>
      <sheetName val="Retention-ทอร์ช"/>
      <sheetName val="SRP-งานประตู"/>
      <sheetName val="Cer-Retention-SRP"/>
      <sheetName val="SRP-งานประตู-Final"/>
      <sheetName val="กิจการร่วมค้า-งานประตู"/>
      <sheetName val="Procon"/>
      <sheetName val="Procon-Final"/>
      <sheetName val="STM"/>
      <sheetName val="STM-Final"/>
      <sheetName val="WTN"/>
      <sheetName val="ยู่ฮุย"/>
      <sheetName val="Cert.Retention-Yoohui"/>
      <sheetName val="Yoohui-Final"/>
      <sheetName val="BP-พรรณไม้"/>
      <sheetName val="BP-ค่าติดตั้ง"/>
      <sheetName val="ใบกล้วย-วัสดุ"/>
      <sheetName val="อเมธิส-ค่าแรง"/>
      <sheetName val="Leowood"/>
      <sheetName val="TPS-งานพื้นไม้"/>
      <sheetName val="J Group-WiFi"/>
      <sheetName val="ชี่ช่า-MLP"/>
      <sheetName val="ลินโด"/>
      <sheetName val="พร"/>
      <sheetName val="Seafco"/>
      <sheetName val="QS-CRCE-ยกเลิก"/>
      <sheetName val="อภิลักษณ์"/>
      <sheetName val="สหพันธ์"/>
      <sheetName val="จักรกฤช"/>
      <sheetName val="Sheet2"/>
      <sheetName val="DATA-P3_3"/>
      <sheetName val="Cavity_Inputs2"/>
      <sheetName val="Book_1_Summary3"/>
      <sheetName val="GAAP_Pru1"/>
      <sheetName val="SCP_Q1'99_UPD1"/>
      <sheetName val="DETAIL_1"/>
      <sheetName val="Take-off_stru"/>
      <sheetName val="SAN_REDUCED_1"/>
      <sheetName val="Main_Sum_(Hotel_&amp;_Residences)"/>
      <sheetName val="mat_เก่าใหม่"/>
      <sheetName val="DATA-P3_4"/>
      <sheetName val="Cavity_Inputs3"/>
      <sheetName val="Book_1_Summary4"/>
      <sheetName val="GAAP_Pru2"/>
      <sheetName val="SCP_Q1'99_UPD2"/>
      <sheetName val="DETAIL_2"/>
      <sheetName val="Take-off_stru1"/>
      <sheetName val="SAN_REDUCED_11"/>
      <sheetName val="Main_Sum_(Hotel_&amp;_Residences)1"/>
      <sheetName val="mat_เก่าใหม่1"/>
      <sheetName val="QS-AE_Asia"/>
      <sheetName val="Syn-คชจ_หัก_Retention"/>
      <sheetName val="AAG_corp-ค่าวัสดุ"/>
      <sheetName val="AAG_corp-งาน_PO"/>
      <sheetName val="AAG_facade-ค่าติดตั้ง"/>
      <sheetName val="_LI-Otis"/>
      <sheetName val="Cert_Retention-Yoohui"/>
      <sheetName val="J_Group-WiFi"/>
      <sheetName val="Purchase_Order"/>
      <sheetName val="Customize_Your_Purchase_Order"/>
      <sheetName val="HH"/>
      <sheetName val="F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"/>
      <sheetName val="UNITS_PILE_CAP"/>
      <sheetName val="ราคาต่อหน่วย - จำนวน เข็ม"/>
      <sheetName val="Total"/>
      <sheetName val="Total-Month"/>
      <sheetName val="ใบสรุป Pile"/>
      <sheetName val="ใบสรุป Pile 2"/>
      <sheetName val="ใบสรุป Pile (Vira)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PV"/>
      <sheetName val="แบบ S"/>
      <sheetName val="แบบ T"/>
      <sheetName val="แบบ TP"/>
      <sheetName val="แบบ V"/>
      <sheetName val="แบบ Y"/>
    </sheetNames>
    <sheetDataSet>
      <sheetData sheetId="0" refreshError="1">
        <row r="18">
          <cell r="C18">
            <v>2200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Information"/>
      <sheetName val="Data from IT"/>
      <sheetName val="Project address"/>
      <sheetName val="ชื่อโครงการล่าสุด"/>
      <sheetName val="WI"/>
      <sheetName val="Plant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SAP Plant</v>
          </cell>
          <cell r="B1" t="str">
            <v>Location Code</v>
          </cell>
          <cell r="C1" t="str">
            <v>Project Address</v>
          </cell>
          <cell r="D1" t="str">
            <v>Project Address2</v>
          </cell>
          <cell r="E1" t="str">
            <v>City</v>
          </cell>
          <cell r="F1" t="str">
            <v>Post Code</v>
          </cell>
          <cell r="G1" t="str">
            <v>Name (New)</v>
          </cell>
          <cell r="H1" t="str">
            <v>Project No.</v>
          </cell>
          <cell r="I1" t="str">
            <v>Project Name</v>
          </cell>
          <cell r="J1" t="str">
            <v>NAV Company</v>
          </cell>
          <cell r="K1" t="str">
            <v>SAP Company Code</v>
          </cell>
          <cell r="L1" t="str">
            <v>Conversion Type</v>
          </cell>
          <cell r="M1" t="str">
            <v>Conversion</v>
          </cell>
          <cell r="N1" t="str">
            <v>Project/WBS</v>
          </cell>
        </row>
        <row r="2">
          <cell r="A2">
            <v>1999</v>
          </cell>
          <cell r="B2" t="e">
            <v>#N/A</v>
          </cell>
          <cell r="C2" t="e">
            <v>#N/A</v>
          </cell>
          <cell r="D2" t="e">
            <v>#N/A</v>
          </cell>
          <cell r="E2" t="e">
            <v>#N/A</v>
          </cell>
          <cell r="F2" t="e">
            <v>#N/A</v>
          </cell>
          <cell r="G2" t="e">
            <v>#N/A</v>
          </cell>
          <cell r="H2" t="str">
            <v>01003</v>
          </cell>
          <cell r="I2" t="str">
            <v>ลาดพร้าว 71(1)</v>
          </cell>
          <cell r="J2" t="str">
            <v>APD</v>
          </cell>
          <cell r="K2" t="str">
            <v>1000</v>
          </cell>
          <cell r="L2" t="str">
            <v>Dummy Project</v>
          </cell>
          <cell r="M2" t="str">
            <v>D1000</v>
          </cell>
          <cell r="N2" t="str">
            <v>1/999-01</v>
          </cell>
        </row>
        <row r="3">
          <cell r="A3">
            <v>1999</v>
          </cell>
          <cell r="B3" t="e">
            <v>#N/A</v>
          </cell>
          <cell r="C3" t="e">
            <v>#N/A</v>
          </cell>
          <cell r="D3" t="e">
            <v>#N/A</v>
          </cell>
          <cell r="E3" t="e">
            <v>#N/A</v>
          </cell>
          <cell r="F3" t="e">
            <v>#N/A</v>
          </cell>
          <cell r="G3" t="e">
            <v>#N/A</v>
          </cell>
          <cell r="H3" t="str">
            <v>01013</v>
          </cell>
          <cell r="I3" t="str">
            <v>สาธร นราธิวาส</v>
          </cell>
          <cell r="J3" t="str">
            <v>APD</v>
          </cell>
          <cell r="K3" t="str">
            <v>1000</v>
          </cell>
          <cell r="L3" t="str">
            <v>Dummy Project</v>
          </cell>
          <cell r="M3" t="str">
            <v>D1000</v>
          </cell>
          <cell r="N3" t="str">
            <v>1/999-02</v>
          </cell>
        </row>
        <row r="4">
          <cell r="A4">
            <v>4999</v>
          </cell>
          <cell r="B4" t="str">
            <v>LP</v>
          </cell>
          <cell r="C4" t="str">
            <v>ซอยลาดพร้าว 71</v>
          </cell>
          <cell r="D4" t="str">
            <v>เขตลาดพร้าว</v>
          </cell>
          <cell r="E4" t="str">
            <v>เขตลาดพร้าว</v>
          </cell>
          <cell r="F4">
            <v>10230</v>
          </cell>
          <cell r="G4" t="e">
            <v>#N/A</v>
          </cell>
          <cell r="H4" t="str">
            <v>01016</v>
          </cell>
          <cell r="I4" t="str">
            <v>โยธินพัฒนา</v>
          </cell>
          <cell r="J4" t="str">
            <v>APL</v>
          </cell>
          <cell r="K4" t="str">
            <v>4000</v>
          </cell>
          <cell r="L4" t="str">
            <v>Dummy Project</v>
          </cell>
          <cell r="M4" t="str">
            <v>D4000</v>
          </cell>
          <cell r="N4" t="str">
            <v>4/999-01</v>
          </cell>
        </row>
        <row r="5">
          <cell r="A5">
            <v>2999</v>
          </cell>
          <cell r="B5" t="str">
            <v>LP</v>
          </cell>
          <cell r="C5" t="str">
            <v>ซ.ลาดพร้าว 88 แขวงวังทองหลาง</v>
          </cell>
          <cell r="D5" t="str">
            <v>เขตวังทองหลาง</v>
          </cell>
          <cell r="E5">
            <v>0</v>
          </cell>
          <cell r="F5">
            <v>0</v>
          </cell>
          <cell r="G5" t="e">
            <v>#N/A</v>
          </cell>
          <cell r="H5" t="str">
            <v>01018</v>
          </cell>
          <cell r="I5" t="str">
            <v>บ้านกลางเมืองพระราม9-ลาดพร้าว 88</v>
          </cell>
          <cell r="J5" t="str">
            <v>APK</v>
          </cell>
          <cell r="K5" t="str">
            <v>2000</v>
          </cell>
          <cell r="L5" t="str">
            <v>Dummy Project</v>
          </cell>
          <cell r="M5" t="str">
            <v>D2000</v>
          </cell>
          <cell r="N5" t="str">
            <v>2/999-01</v>
          </cell>
        </row>
        <row r="6">
          <cell r="A6">
            <v>2999</v>
          </cell>
          <cell r="B6" t="str">
            <v>R5</v>
          </cell>
          <cell r="C6" t="str">
            <v>ต.บางขุนกอง,บางขุนกอง(บ้านจีน)</v>
          </cell>
          <cell r="D6" t="str">
            <v>อ.บางกรวย</v>
          </cell>
          <cell r="E6">
            <v>0</v>
          </cell>
          <cell r="F6">
            <v>0</v>
          </cell>
          <cell r="G6" t="e">
            <v>#N/A</v>
          </cell>
          <cell r="H6" t="str">
            <v>01019</v>
          </cell>
          <cell r="I6" t="str">
            <v>The City ปิ่นเกล้า - พระราม 5</v>
          </cell>
          <cell r="J6" t="str">
            <v>APK</v>
          </cell>
          <cell r="K6" t="str">
            <v>2000</v>
          </cell>
          <cell r="L6" t="str">
            <v>Dummy Project</v>
          </cell>
          <cell r="M6" t="str">
            <v>D2000</v>
          </cell>
          <cell r="N6" t="str">
            <v>2/999-02</v>
          </cell>
        </row>
        <row r="7">
          <cell r="A7">
            <v>1001</v>
          </cell>
          <cell r="B7" t="str">
            <v>PK</v>
          </cell>
          <cell r="C7" t="str">
            <v>ถ.บรมราชชนนี แขวงศาลาธรรมสพน์</v>
          </cell>
          <cell r="D7" t="str">
            <v>เขตทวีวัฒนา</v>
          </cell>
          <cell r="E7">
            <v>0</v>
          </cell>
          <cell r="F7">
            <v>0</v>
          </cell>
          <cell r="G7" t="e">
            <v>#N/A</v>
          </cell>
          <cell r="H7" t="str">
            <v>01020</v>
          </cell>
          <cell r="I7" t="str">
            <v>เดอะซิตี้ปิ่นเกล้า (APD)</v>
          </cell>
          <cell r="J7" t="str">
            <v>APD</v>
          </cell>
          <cell r="K7" t="str">
            <v>1000</v>
          </cell>
          <cell r="L7" t="str">
            <v>New Project</v>
          </cell>
          <cell r="M7" t="str">
            <v>1000</v>
          </cell>
          <cell r="N7" t="str">
            <v>1/001</v>
          </cell>
        </row>
        <row r="8">
          <cell r="A8">
            <v>1999</v>
          </cell>
          <cell r="B8" t="str">
            <v>PW</v>
          </cell>
          <cell r="C8" t="str">
            <v>ริมถ.เพชรบุรี ซ.18-20</v>
          </cell>
          <cell r="D8">
            <v>0</v>
          </cell>
          <cell r="E8">
            <v>0</v>
          </cell>
          <cell r="F8">
            <v>0</v>
          </cell>
          <cell r="G8" t="e">
            <v>#N/A</v>
          </cell>
          <cell r="H8" t="str">
            <v>01025</v>
          </cell>
          <cell r="I8" t="str">
            <v>บ้านกลางกรุง สยาม-ปทุมวัน</v>
          </cell>
          <cell r="J8" t="str">
            <v>APD</v>
          </cell>
          <cell r="K8" t="str">
            <v>1000</v>
          </cell>
          <cell r="L8" t="str">
            <v>Dummy Project</v>
          </cell>
          <cell r="M8" t="str">
            <v>D1000</v>
          </cell>
          <cell r="N8" t="str">
            <v>1/999-03</v>
          </cell>
        </row>
        <row r="9">
          <cell r="A9">
            <v>4999</v>
          </cell>
          <cell r="B9" t="str">
            <v>PK</v>
          </cell>
          <cell r="C9" t="str">
            <v>ถ.บรมราชชนนี แขวงศาลาธรรมสพน์</v>
          </cell>
          <cell r="D9">
            <v>0</v>
          </cell>
          <cell r="E9" t="str">
            <v>เขตทวีวัฒนา</v>
          </cell>
          <cell r="F9">
            <v>10170</v>
          </cell>
          <cell r="G9" t="e">
            <v>#N/A</v>
          </cell>
          <cell r="H9" t="str">
            <v>01027</v>
          </cell>
          <cell r="I9" t="str">
            <v>The City ปิ่นเกล้า - สาย2</v>
          </cell>
          <cell r="J9" t="str">
            <v>APL</v>
          </cell>
          <cell r="K9" t="str">
            <v>4000</v>
          </cell>
          <cell r="L9" t="str">
            <v>Dummy Project</v>
          </cell>
          <cell r="M9" t="str">
            <v>D4000</v>
          </cell>
          <cell r="N9" t="str">
            <v>4/999-02</v>
          </cell>
        </row>
        <row r="10">
          <cell r="A10">
            <v>1999</v>
          </cell>
          <cell r="B10" t="str">
            <v>R3</v>
          </cell>
          <cell r="C10" t="str">
            <v>ถ.วงแหวนอุตสาหกรรม แขวงบางโพงพาง</v>
          </cell>
          <cell r="D10">
            <v>0</v>
          </cell>
          <cell r="E10">
            <v>0</v>
          </cell>
          <cell r="F10">
            <v>0</v>
          </cell>
          <cell r="G10" t="e">
            <v>#N/A</v>
          </cell>
          <cell r="H10" t="str">
            <v>01028</v>
          </cell>
          <cell r="I10" t="str">
            <v>บ้านกลางกรุงแกรนด์เวียนนา - พระราม 3</v>
          </cell>
          <cell r="J10" t="str">
            <v>APD</v>
          </cell>
          <cell r="K10" t="str">
            <v>1000</v>
          </cell>
          <cell r="L10" t="str">
            <v>Dummy Project</v>
          </cell>
          <cell r="M10" t="str">
            <v>D1000</v>
          </cell>
          <cell r="N10" t="str">
            <v>1/999-04</v>
          </cell>
        </row>
        <row r="11">
          <cell r="A11">
            <v>2999</v>
          </cell>
          <cell r="B11" t="str">
            <v>PK</v>
          </cell>
          <cell r="C11" t="str">
            <v>ถ.บรมราชชนนี แขวงศาลาธรรมสพน์</v>
          </cell>
          <cell r="D11" t="str">
            <v>เขตทวีวัฒนา</v>
          </cell>
          <cell r="E11">
            <v>0</v>
          </cell>
          <cell r="F11">
            <v>0</v>
          </cell>
          <cell r="G11" t="e">
            <v>#N/A</v>
          </cell>
          <cell r="H11" t="str">
            <v>01033</v>
          </cell>
          <cell r="I11" t="str">
            <v>เดอะซิตี้ปิ่นเกล้า (APK)</v>
          </cell>
          <cell r="J11" t="str">
            <v>APK</v>
          </cell>
          <cell r="K11" t="str">
            <v>2000</v>
          </cell>
          <cell r="L11" t="str">
            <v>Dummy Project</v>
          </cell>
          <cell r="M11" t="str">
            <v>D2000</v>
          </cell>
          <cell r="N11" t="str">
            <v>2/999-03</v>
          </cell>
        </row>
        <row r="12">
          <cell r="A12">
            <v>1999</v>
          </cell>
          <cell r="B12" t="str">
            <v>SK</v>
          </cell>
          <cell r="C12" t="str">
            <v>ถ.ศรีนครินทร์ ม.5 ต.สำโรงเหนือ</v>
          </cell>
          <cell r="D12" t="str">
            <v>อ.เมืองสมุทรปราการ</v>
          </cell>
          <cell r="E12" t="str">
            <v>เขตสมุทรปราการ</v>
          </cell>
          <cell r="F12">
            <v>10270</v>
          </cell>
          <cell r="G12" t="e">
            <v>#N/A</v>
          </cell>
          <cell r="H12" t="str">
            <v>01035</v>
          </cell>
          <cell r="I12" t="str">
            <v>กลางเมืองบริติชทาวน์ ศรีนครินทร์ 2</v>
          </cell>
          <cell r="J12" t="str">
            <v>APD</v>
          </cell>
          <cell r="K12" t="str">
            <v>1000</v>
          </cell>
          <cell r="L12" t="str">
            <v>Dummy Project</v>
          </cell>
          <cell r="M12" t="str">
            <v>D1000</v>
          </cell>
          <cell r="N12" t="str">
            <v>1/999-05</v>
          </cell>
        </row>
        <row r="13">
          <cell r="A13">
            <v>1999</v>
          </cell>
          <cell r="B13" t="str">
            <v>SK</v>
          </cell>
          <cell r="C13" t="str">
            <v>อ่อนนุช 46 ถ.สุขุมวิท 77 แขวงสวนหลวง</v>
          </cell>
          <cell r="D13" t="str">
            <v>เขตสวนหลวง</v>
          </cell>
          <cell r="E13">
            <v>0</v>
          </cell>
          <cell r="F13">
            <v>0</v>
          </cell>
          <cell r="G13" t="e">
            <v>#N/A</v>
          </cell>
          <cell r="H13" t="str">
            <v>01036</v>
          </cell>
          <cell r="I13" t="str">
            <v>บ้านกลางเมือง Luzern สุขุมวิท</v>
          </cell>
          <cell r="J13" t="str">
            <v>APD</v>
          </cell>
          <cell r="K13" t="str">
            <v>1000</v>
          </cell>
          <cell r="L13" t="str">
            <v>Dummy Project</v>
          </cell>
          <cell r="M13" t="str">
            <v>D1000</v>
          </cell>
          <cell r="N13" t="str">
            <v>1/999-06</v>
          </cell>
        </row>
        <row r="14">
          <cell r="A14">
            <v>4999</v>
          </cell>
          <cell r="B14" t="str">
            <v>RV</v>
          </cell>
          <cell r="C14" t="str">
            <v>ต.ลาดยาว</v>
          </cell>
          <cell r="D14" t="str">
            <v>อ.จตุจักร</v>
          </cell>
          <cell r="E14" t="str">
            <v>เขตจตุจักร</v>
          </cell>
          <cell r="F14">
            <v>10900</v>
          </cell>
          <cell r="G14" t="e">
            <v>#N/A</v>
          </cell>
          <cell r="H14" t="str">
            <v>01038</v>
          </cell>
          <cell r="I14" t="str">
            <v>บ้านกลางเมือง The Paris - รัชวิภา</v>
          </cell>
          <cell r="J14" t="str">
            <v>APR</v>
          </cell>
          <cell r="K14" t="str">
            <v>4000</v>
          </cell>
          <cell r="L14" t="str">
            <v>Dummy Project</v>
          </cell>
          <cell r="M14" t="str">
            <v>D4000</v>
          </cell>
          <cell r="N14" t="str">
            <v>4/999-03</v>
          </cell>
        </row>
        <row r="15">
          <cell r="A15">
            <v>7999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 t="str">
            <v>01039</v>
          </cell>
          <cell r="I15" t="str">
            <v>บางกอกรุ่งเรื่อง (Office Park Bangna)</v>
          </cell>
          <cell r="J15" t="str">
            <v>APT</v>
          </cell>
          <cell r="K15" t="str">
            <v>7000</v>
          </cell>
          <cell r="L15" t="str">
            <v>Dummy Project</v>
          </cell>
          <cell r="M15" t="str">
            <v>D7000</v>
          </cell>
          <cell r="N15" t="str">
            <v>7/999-01</v>
          </cell>
        </row>
        <row r="16">
          <cell r="A16">
            <v>4999</v>
          </cell>
          <cell r="B16" t="e">
            <v>#N/A</v>
          </cell>
          <cell r="C16" t="e">
            <v>#N/A</v>
          </cell>
          <cell r="D16" t="e">
            <v>#N/A</v>
          </cell>
          <cell r="E16" t="e">
            <v>#N/A</v>
          </cell>
          <cell r="F16" t="e">
            <v>#N/A</v>
          </cell>
          <cell r="G16" t="e">
            <v>#N/A</v>
          </cell>
          <cell r="H16" t="str">
            <v>02906</v>
          </cell>
          <cell r="I16" t="str">
            <v>Place and Park</v>
          </cell>
          <cell r="J16" t="str">
            <v>AP</v>
          </cell>
          <cell r="K16" t="str">
            <v>4000</v>
          </cell>
          <cell r="L16" t="str">
            <v>Dummy Project</v>
          </cell>
          <cell r="M16" t="str">
            <v>D4000</v>
          </cell>
          <cell r="N16" t="str">
            <v>4/999-04</v>
          </cell>
        </row>
        <row r="17">
          <cell r="A17">
            <v>4999</v>
          </cell>
          <cell r="B17" t="e">
            <v>#N/A</v>
          </cell>
          <cell r="C17" t="e">
            <v>#N/A</v>
          </cell>
          <cell r="D17" t="e">
            <v>#N/A</v>
          </cell>
          <cell r="E17" t="e">
            <v>#N/A</v>
          </cell>
          <cell r="F17" t="e">
            <v>#N/A</v>
          </cell>
          <cell r="G17" t="e">
            <v>#N/A</v>
          </cell>
          <cell r="H17" t="str">
            <v>04910</v>
          </cell>
          <cell r="I17" t="str">
            <v>บ้านกลางเมือง-เสรี พระราม9</v>
          </cell>
          <cell r="J17" t="str">
            <v>AP</v>
          </cell>
          <cell r="K17" t="str">
            <v>4000</v>
          </cell>
          <cell r="L17" t="str">
            <v>Dummy Project</v>
          </cell>
          <cell r="M17" t="str">
            <v>D4000</v>
          </cell>
          <cell r="N17" t="str">
            <v>4/999-05</v>
          </cell>
        </row>
        <row r="18">
          <cell r="A18">
            <v>1999</v>
          </cell>
          <cell r="B18" t="str">
            <v>BT</v>
          </cell>
          <cell r="C18" t="str">
            <v>บางบัวทอง จ.นนทบุรี</v>
          </cell>
          <cell r="D18">
            <v>0</v>
          </cell>
          <cell r="E18">
            <v>0</v>
          </cell>
          <cell r="F18">
            <v>0</v>
          </cell>
          <cell r="G18" t="e">
            <v>#N/A</v>
          </cell>
          <cell r="H18" t="str">
            <v>05105</v>
          </cell>
          <cell r="I18" t="str">
            <v>มนวดี กรีนพาร์ค</v>
          </cell>
          <cell r="J18" t="str">
            <v>APD</v>
          </cell>
          <cell r="K18" t="str">
            <v>1000</v>
          </cell>
          <cell r="L18" t="str">
            <v>Dummy Project</v>
          </cell>
          <cell r="M18" t="str">
            <v>D1000</v>
          </cell>
          <cell r="N18" t="str">
            <v>1/999-07</v>
          </cell>
        </row>
        <row r="19">
          <cell r="A19">
            <v>1002</v>
          </cell>
          <cell r="B19" t="str">
            <v>RV</v>
          </cell>
          <cell r="C19" t="str">
            <v>ถ.รัชดาภิเษก</v>
          </cell>
          <cell r="D19" t="str">
            <v>แขวงจตุจักร เขตจตุจักร</v>
          </cell>
          <cell r="E19" t="str">
            <v>เขตจตุจักร</v>
          </cell>
          <cell r="F19">
            <v>10900</v>
          </cell>
          <cell r="G19" t="str">
            <v>Urbanion   รัชวิภา</v>
          </cell>
          <cell r="H19" t="str">
            <v>10001</v>
          </cell>
          <cell r="I19" t="str">
            <v>The Royal Vienna รัชวิภา/ปูนซีเมนต์ไทย</v>
          </cell>
          <cell r="J19" t="str">
            <v>APD</v>
          </cell>
          <cell r="K19" t="str">
            <v>1000</v>
          </cell>
          <cell r="L19" t="str">
            <v>New Project</v>
          </cell>
          <cell r="M19" t="str">
            <v>1000</v>
          </cell>
          <cell r="N19" t="str">
            <v>1/002</v>
          </cell>
        </row>
        <row r="20">
          <cell r="A20">
            <v>4001</v>
          </cell>
          <cell r="B20" t="str">
            <v>RV</v>
          </cell>
          <cell r="C20">
            <v>0</v>
          </cell>
          <cell r="D20" t="str">
            <v>อ.จตุจักร</v>
          </cell>
          <cell r="E20" t="str">
            <v>เขตจตุจักร</v>
          </cell>
          <cell r="F20">
            <v>10900</v>
          </cell>
          <cell r="G20" t="e">
            <v>#N/A</v>
          </cell>
          <cell r="H20" t="str">
            <v>10003</v>
          </cell>
          <cell r="I20" t="str">
            <v>บ้านกลางกรุง The Nice(Frence) รัชวิภา</v>
          </cell>
          <cell r="J20" t="str">
            <v>APR</v>
          </cell>
          <cell r="K20" t="str">
            <v>4000</v>
          </cell>
          <cell r="L20" t="str">
            <v>New Project</v>
          </cell>
          <cell r="M20" t="str">
            <v>4000</v>
          </cell>
          <cell r="N20" t="str">
            <v>4/001</v>
          </cell>
        </row>
        <row r="21">
          <cell r="A21">
            <v>4999</v>
          </cell>
          <cell r="B21" t="str">
            <v>RV</v>
          </cell>
          <cell r="C21" t="str">
            <v>ต.ลาดยาว</v>
          </cell>
          <cell r="D21" t="str">
            <v>อ.จตุจักร</v>
          </cell>
          <cell r="E21" t="str">
            <v>เขตจตุจักร</v>
          </cell>
          <cell r="F21">
            <v>10900</v>
          </cell>
          <cell r="G21" t="e">
            <v>#N/A</v>
          </cell>
          <cell r="H21" t="str">
            <v>10005</v>
          </cell>
          <cell r="I21" t="str">
            <v>บ้านกลางเมือง Monte-Carlo รัชวิภา</v>
          </cell>
          <cell r="J21" t="str">
            <v>APR</v>
          </cell>
          <cell r="K21" t="str">
            <v>4000</v>
          </cell>
          <cell r="L21" t="str">
            <v>Dummy Project</v>
          </cell>
          <cell r="M21" t="str">
            <v>D4000</v>
          </cell>
          <cell r="N21" t="str">
            <v>4/999-06</v>
          </cell>
        </row>
        <row r="22">
          <cell r="A22">
            <v>1999</v>
          </cell>
          <cell r="B22" t="str">
            <v>PW</v>
          </cell>
          <cell r="C22" t="str">
            <v>ริมถ.เพชรบุรี ซ.18-20</v>
          </cell>
          <cell r="D22" t="str">
            <v>แขวงปทุมวัน เขตราชเทวี</v>
          </cell>
          <cell r="E22">
            <v>0</v>
          </cell>
          <cell r="F22">
            <v>0</v>
          </cell>
          <cell r="G22" t="e">
            <v>#N/A</v>
          </cell>
          <cell r="H22" t="str">
            <v>10012</v>
          </cell>
          <cell r="I22" t="str">
            <v>The Address @ Siam</v>
          </cell>
          <cell r="J22" t="str">
            <v>APD</v>
          </cell>
          <cell r="K22" t="str">
            <v>1000</v>
          </cell>
          <cell r="L22" t="str">
            <v>Dummy Project</v>
          </cell>
          <cell r="M22" t="str">
            <v>D1000</v>
          </cell>
          <cell r="N22" t="str">
            <v>1/999-08</v>
          </cell>
        </row>
        <row r="23">
          <cell r="A23">
            <v>2999</v>
          </cell>
          <cell r="B23" t="str">
            <v>NM</v>
          </cell>
          <cell r="C23" t="str">
            <v>ถ.ประสริฐมนูกิจ แขวงจรเข้บัว</v>
          </cell>
          <cell r="D23" t="str">
            <v>เขตลาดพร้าว</v>
          </cell>
          <cell r="E23">
            <v>0</v>
          </cell>
          <cell r="F23">
            <v>0</v>
          </cell>
          <cell r="G23" t="e">
            <v>#N/A</v>
          </cell>
          <cell r="H23" t="str">
            <v>10013</v>
          </cell>
          <cell r="I23" t="str">
            <v>บ้านกลางเมือง Swiss Town เกษตร - นวมินทร์</v>
          </cell>
          <cell r="J23" t="str">
            <v>APK</v>
          </cell>
          <cell r="K23" t="str">
            <v>2000</v>
          </cell>
          <cell r="L23" t="str">
            <v>Dummy Project</v>
          </cell>
          <cell r="M23" t="str">
            <v>D2000</v>
          </cell>
          <cell r="N23" t="str">
            <v>2/999-04</v>
          </cell>
        </row>
        <row r="24">
          <cell r="A24">
            <v>1999</v>
          </cell>
          <cell r="B24" t="str">
            <v>SK</v>
          </cell>
          <cell r="C24" t="str">
            <v>ซ.อนามัย ถ.ศรีนครินทร์</v>
          </cell>
          <cell r="D24" t="str">
            <v>แขวงสวนหลวง เขตสวนหลวง</v>
          </cell>
          <cell r="E24">
            <v>0</v>
          </cell>
          <cell r="F24">
            <v>0</v>
          </cell>
          <cell r="G24" t="e">
            <v>#N/A</v>
          </cell>
          <cell r="H24" t="str">
            <v>10014</v>
          </cell>
          <cell r="I24" t="str">
            <v>The Royal Monaco ศรีนครินทร์ - พัฒนาการ</v>
          </cell>
          <cell r="J24" t="str">
            <v>APD</v>
          </cell>
          <cell r="K24" t="str">
            <v>1000</v>
          </cell>
          <cell r="L24" t="str">
            <v>Dummy Project</v>
          </cell>
          <cell r="M24" t="str">
            <v>D1000</v>
          </cell>
          <cell r="N24" t="str">
            <v>1/999-09</v>
          </cell>
        </row>
        <row r="25">
          <cell r="A25">
            <v>1003</v>
          </cell>
          <cell r="B25" t="str">
            <v>SV</v>
          </cell>
          <cell r="C25" t="str">
            <v>ซ.สุขุมวิท 67 ถนนสุขุมวิท</v>
          </cell>
          <cell r="D25" t="str">
            <v>กรุงเทพมหานคร</v>
          </cell>
          <cell r="E25">
            <v>0</v>
          </cell>
          <cell r="F25">
            <v>0</v>
          </cell>
          <cell r="G25" t="str">
            <v>Life @ สุขุมวิท 67</v>
          </cell>
          <cell r="H25" t="str">
            <v>10016</v>
          </cell>
          <cell r="I25" t="str">
            <v>Life @ Sukhumvit 67</v>
          </cell>
          <cell r="J25" t="str">
            <v>APD</v>
          </cell>
          <cell r="K25" t="str">
            <v>1000</v>
          </cell>
          <cell r="L25" t="str">
            <v>New Project</v>
          </cell>
          <cell r="M25" t="str">
            <v>1000</v>
          </cell>
          <cell r="N25" t="str">
            <v>1/003</v>
          </cell>
        </row>
        <row r="26">
          <cell r="A26">
            <v>1004</v>
          </cell>
          <cell r="B26" t="str">
            <v>KT</v>
          </cell>
          <cell r="C26" t="str">
            <v>ถ.กรุงเทพกรีฑา</v>
          </cell>
          <cell r="D26" t="str">
            <v>เขตสะพานสูง</v>
          </cell>
          <cell r="E26">
            <v>0</v>
          </cell>
          <cell r="F26">
            <v>0</v>
          </cell>
          <cell r="G26" t="e">
            <v>#N/A</v>
          </cell>
          <cell r="H26" t="str">
            <v>10017</v>
          </cell>
          <cell r="I26" t="str">
            <v>บ้านกลางเมือง The Paris พระราม9-รามคำแหง (APD)</v>
          </cell>
          <cell r="J26" t="str">
            <v>APD</v>
          </cell>
          <cell r="K26" t="str">
            <v>1000</v>
          </cell>
          <cell r="L26" t="str">
            <v>New Project</v>
          </cell>
          <cell r="M26" t="str">
            <v>1000</v>
          </cell>
          <cell r="N26" t="str">
            <v>1/004</v>
          </cell>
        </row>
        <row r="27">
          <cell r="A27">
            <v>2001</v>
          </cell>
          <cell r="B27" t="str">
            <v>KT</v>
          </cell>
          <cell r="C27" t="str">
            <v>ถ.กรุงเทพกรีฑา</v>
          </cell>
          <cell r="D27" t="str">
            <v>เขตสะพานสูง</v>
          </cell>
          <cell r="E27">
            <v>0</v>
          </cell>
          <cell r="F27">
            <v>0</v>
          </cell>
          <cell r="G27" t="e">
            <v>#N/A</v>
          </cell>
          <cell r="H27" t="str">
            <v>10019</v>
          </cell>
          <cell r="I27" t="str">
            <v>บ้านกลางเมือง  Urbanion พระราม9-วงแหวน (APK)</v>
          </cell>
          <cell r="J27" t="str">
            <v>APK</v>
          </cell>
          <cell r="K27" t="str">
            <v>2000</v>
          </cell>
          <cell r="L27" t="str">
            <v>New Project</v>
          </cell>
          <cell r="M27" t="str">
            <v>2000</v>
          </cell>
          <cell r="N27" t="str">
            <v>2/001</v>
          </cell>
        </row>
        <row r="28">
          <cell r="A28">
            <v>1005</v>
          </cell>
          <cell r="B28" t="str">
            <v>LK</v>
          </cell>
          <cell r="C28" t="str">
            <v>ริมถนนวัดลาดปลาเค้า</v>
          </cell>
          <cell r="D28" t="str">
            <v>แขวงอนุสาวรีย์ เขตบางเขน</v>
          </cell>
          <cell r="E28">
            <v>0</v>
          </cell>
          <cell r="F28">
            <v>0</v>
          </cell>
          <cell r="G28" t="str">
            <v>Urbanion  เกษตร - นวมินทร์ 2</v>
          </cell>
          <cell r="H28" t="str">
            <v>10020</v>
          </cell>
          <cell r="I28" t="str">
            <v>ถนนวัดลาดปลาเค้า ซอย 79</v>
          </cell>
          <cell r="J28" t="str">
            <v>APD</v>
          </cell>
          <cell r="K28" t="str">
            <v>1000</v>
          </cell>
          <cell r="L28" t="str">
            <v>New Project</v>
          </cell>
          <cell r="M28" t="str">
            <v>1000</v>
          </cell>
          <cell r="N28" t="str">
            <v>1/005</v>
          </cell>
        </row>
        <row r="29">
          <cell r="A29">
            <v>1999</v>
          </cell>
          <cell r="B29" t="str">
            <v>TB</v>
          </cell>
          <cell r="C29" t="str">
            <v>ถ.รัชดาภิเษก</v>
          </cell>
          <cell r="D29" t="str">
            <v>แขวงตลาดพลู เขตธนบุรี</v>
          </cell>
          <cell r="E29">
            <v>0</v>
          </cell>
          <cell r="F29">
            <v>0</v>
          </cell>
          <cell r="G29" t="e">
            <v>#N/A</v>
          </cell>
          <cell r="H29" t="str">
            <v>10021</v>
          </cell>
          <cell r="I29" t="str">
            <v>Life @ BTS THA-PHRA</v>
          </cell>
          <cell r="J29" t="str">
            <v>APD</v>
          </cell>
          <cell r="K29" t="str">
            <v>1000</v>
          </cell>
          <cell r="L29" t="str">
            <v>Dummy Project</v>
          </cell>
          <cell r="M29" t="str">
            <v>D1000</v>
          </cell>
          <cell r="N29" t="str">
            <v>1/999-10</v>
          </cell>
        </row>
        <row r="30">
          <cell r="A30">
            <v>1999</v>
          </cell>
          <cell r="B30" t="str">
            <v>LP</v>
          </cell>
          <cell r="C30" t="str">
            <v>ริมถนนนาคนิวาส(ซ.ลาดพร้าว71)</v>
          </cell>
          <cell r="D30" t="str">
            <v>แขวงลาดพร้าว</v>
          </cell>
          <cell r="E30" t="str">
            <v>เขตลาดพร้าว</v>
          </cell>
          <cell r="F30">
            <v>10230</v>
          </cell>
          <cell r="G30" t="e">
            <v>#N/A</v>
          </cell>
          <cell r="H30" t="str">
            <v>10022</v>
          </cell>
          <cell r="I30" t="str">
            <v>ลาดพร้าว 71/4</v>
          </cell>
          <cell r="J30" t="str">
            <v>APD</v>
          </cell>
          <cell r="K30" t="str">
            <v>1000</v>
          </cell>
          <cell r="L30" t="str">
            <v>Dummy Project</v>
          </cell>
          <cell r="M30" t="str">
            <v>D1000</v>
          </cell>
          <cell r="N30" t="str">
            <v>1/999-11</v>
          </cell>
        </row>
        <row r="31">
          <cell r="A31">
            <v>1999</v>
          </cell>
          <cell r="B31" t="str">
            <v>LP</v>
          </cell>
          <cell r="C31" t="str">
            <v>เสนา</v>
          </cell>
          <cell r="D31">
            <v>0</v>
          </cell>
          <cell r="E31">
            <v>0</v>
          </cell>
          <cell r="F31">
            <v>0</v>
          </cell>
          <cell r="G31" t="e">
            <v>#N/A</v>
          </cell>
          <cell r="H31" t="str">
            <v>10023</v>
          </cell>
          <cell r="I31" t="str">
            <v>บ้านกลางเมือง URBANION ลาดพร้าว-โชคชัย4 (วังหิน เสนา)</v>
          </cell>
          <cell r="J31" t="str">
            <v>APD</v>
          </cell>
          <cell r="K31" t="str">
            <v>1000</v>
          </cell>
          <cell r="L31" t="str">
            <v>Dummy Project</v>
          </cell>
          <cell r="M31" t="str">
            <v>D1000</v>
          </cell>
          <cell r="N31" t="str">
            <v>1/999-12</v>
          </cell>
        </row>
        <row r="32">
          <cell r="A32">
            <v>1006</v>
          </cell>
          <cell r="B32" t="str">
            <v>SV</v>
          </cell>
          <cell r="C32" t="str">
            <v>ซ.สมคิด ถ.เพลินจิต ลุมพินี</v>
          </cell>
          <cell r="D32" t="str">
            <v>ปทุมวัน</v>
          </cell>
          <cell r="E32">
            <v>0</v>
          </cell>
          <cell r="F32">
            <v>0</v>
          </cell>
          <cell r="G32" t="str">
            <v>The Address ชิดลม</v>
          </cell>
          <cell r="H32" t="str">
            <v>10025</v>
          </cell>
          <cell r="I32" t="str">
            <v>The Address@Chidlom (เพลินจิต)</v>
          </cell>
          <cell r="J32" t="str">
            <v>APD</v>
          </cell>
          <cell r="K32" t="str">
            <v>1000</v>
          </cell>
          <cell r="L32" t="str">
            <v>New Project</v>
          </cell>
          <cell r="M32" t="str">
            <v>1000</v>
          </cell>
          <cell r="N32" t="str">
            <v>1/006</v>
          </cell>
        </row>
        <row r="33">
          <cell r="A33">
            <v>1999</v>
          </cell>
          <cell r="B33" t="str">
            <v>LP</v>
          </cell>
          <cell r="C33" t="str">
            <v>ถ.ลาดพร้าว ซ.ลาดพร้าว 36</v>
          </cell>
          <cell r="D33" t="str">
            <v>ลาดยาว จตุจักร</v>
          </cell>
          <cell r="E33">
            <v>0</v>
          </cell>
          <cell r="F33">
            <v>0</v>
          </cell>
          <cell r="G33" t="e">
            <v>#N/A</v>
          </cell>
          <cell r="H33" t="str">
            <v>10027</v>
          </cell>
          <cell r="I33" t="str">
            <v>Life @ Ratchada</v>
          </cell>
          <cell r="J33" t="str">
            <v>APD</v>
          </cell>
          <cell r="K33" t="str">
            <v>1000</v>
          </cell>
          <cell r="L33" t="str">
            <v>Dummy Project</v>
          </cell>
          <cell r="M33" t="str">
            <v>D1000</v>
          </cell>
          <cell r="N33" t="str">
            <v>1/999-13</v>
          </cell>
        </row>
        <row r="34">
          <cell r="A34">
            <v>1999</v>
          </cell>
          <cell r="B34" t="str">
            <v>PH</v>
          </cell>
          <cell r="C34" t="str">
            <v>ถนนพหลโยธิน ซอย 18 ถ.พหลโยธิน ซ.18 เขตจตุจักร</v>
          </cell>
          <cell r="D34" t="str">
            <v>ต.ลาดยาว อ.บางเขน</v>
          </cell>
          <cell r="E34" t="str">
            <v>เขตบางเขน</v>
          </cell>
          <cell r="F34">
            <v>10220</v>
          </cell>
          <cell r="G34" t="e">
            <v>#N/A</v>
          </cell>
          <cell r="H34" t="str">
            <v>10028</v>
          </cell>
          <cell r="I34" t="str">
            <v>Life @ Paholyothin</v>
          </cell>
          <cell r="J34" t="str">
            <v>APD</v>
          </cell>
          <cell r="K34" t="str">
            <v>1000</v>
          </cell>
          <cell r="L34" t="str">
            <v>Dummy Project</v>
          </cell>
          <cell r="M34" t="str">
            <v>D1000</v>
          </cell>
          <cell r="N34" t="str">
            <v>1/999-14</v>
          </cell>
        </row>
        <row r="35">
          <cell r="A35">
            <v>1999</v>
          </cell>
          <cell r="B35" t="str">
            <v>LP</v>
          </cell>
          <cell r="C35" t="str">
            <v>ลาดพร้าว 27 ถ.ลาดพร้าว 1 ลาดยาว</v>
          </cell>
          <cell r="D35" t="str">
            <v>จตุจักร</v>
          </cell>
          <cell r="E35">
            <v>0</v>
          </cell>
          <cell r="F35">
            <v>0</v>
          </cell>
          <cell r="G35" t="e">
            <v>#N/A</v>
          </cell>
          <cell r="H35" t="str">
            <v>10029</v>
          </cell>
          <cell r="I35" t="str">
            <v>Life@Ratchada Ladprao</v>
          </cell>
          <cell r="J35" t="str">
            <v>APD</v>
          </cell>
          <cell r="K35" t="str">
            <v>1000</v>
          </cell>
          <cell r="L35" t="str">
            <v>Dummy Project</v>
          </cell>
          <cell r="M35" t="str">
            <v>D1000</v>
          </cell>
          <cell r="N35" t="str">
            <v>1/999-15</v>
          </cell>
        </row>
        <row r="36">
          <cell r="A36">
            <v>1999</v>
          </cell>
          <cell r="B36" t="str">
            <v>PH</v>
          </cell>
          <cell r="C36" t="str">
            <v>พหลโยธิน (แยกสะพานควาย) ริมถนนพหลโยธิน</v>
          </cell>
          <cell r="D36" t="str">
            <v>สามเสนใน ดุสิต</v>
          </cell>
          <cell r="E36">
            <v>0</v>
          </cell>
          <cell r="F36">
            <v>0</v>
          </cell>
          <cell r="G36" t="e">
            <v>#N/A</v>
          </cell>
          <cell r="H36" t="str">
            <v>10030</v>
          </cell>
          <cell r="I36" t="str">
            <v>Life@ Paholyothin-Aree</v>
          </cell>
          <cell r="J36" t="str">
            <v>APD</v>
          </cell>
          <cell r="K36" t="str">
            <v>1000</v>
          </cell>
          <cell r="L36" t="str">
            <v>Dummy Project</v>
          </cell>
          <cell r="M36" t="str">
            <v>D1000</v>
          </cell>
          <cell r="N36" t="str">
            <v>1/999-16</v>
          </cell>
        </row>
        <row r="37">
          <cell r="A37">
            <v>1007</v>
          </cell>
          <cell r="B37" t="str">
            <v>SS</v>
          </cell>
          <cell r="C37" t="str">
            <v>MRT-สุทธิสาร ริมถ.รัชดาภิเษก แขวงสามแสนนอก</v>
          </cell>
          <cell r="D37" t="str">
            <v>เขตห้วยขวาง</v>
          </cell>
          <cell r="E37">
            <v>0</v>
          </cell>
          <cell r="F37">
            <v>0</v>
          </cell>
          <cell r="G37" t="e">
            <v>#N/A</v>
          </cell>
          <cell r="H37" t="str">
            <v>10031</v>
          </cell>
          <cell r="I37" t="str">
            <v>Life@ MRT- Suthisan</v>
          </cell>
          <cell r="J37" t="str">
            <v>APD</v>
          </cell>
          <cell r="K37" t="str">
            <v>1000</v>
          </cell>
          <cell r="L37" t="str">
            <v>New Project</v>
          </cell>
          <cell r="M37" t="str">
            <v>1000</v>
          </cell>
          <cell r="N37" t="str">
            <v>1/007</v>
          </cell>
        </row>
        <row r="38">
          <cell r="A38">
            <v>1008</v>
          </cell>
          <cell r="B38" t="str">
            <v>HK</v>
          </cell>
          <cell r="C38" t="str">
            <v>ถ.ประชาราษฎร์บำเพ็ญ แขวงห้วยขวาง เขตห้วยขวาง กทม.</v>
          </cell>
          <cell r="D38">
            <v>0</v>
          </cell>
          <cell r="E38" t="str">
            <v>เขตห้วยขวาง</v>
          </cell>
          <cell r="F38">
            <v>10310</v>
          </cell>
          <cell r="G38" t="e">
            <v>#N/A</v>
          </cell>
          <cell r="H38" t="str">
            <v>10033</v>
          </cell>
          <cell r="I38" t="str">
            <v>LIFE @ ห้วยขวาง</v>
          </cell>
          <cell r="J38" t="str">
            <v>APD</v>
          </cell>
          <cell r="K38" t="str">
            <v>1000</v>
          </cell>
          <cell r="L38" t="str">
            <v>New Project</v>
          </cell>
          <cell r="M38" t="str">
            <v>1000</v>
          </cell>
          <cell r="N38" t="str">
            <v>1/008</v>
          </cell>
        </row>
        <row r="39">
          <cell r="A39">
            <v>4002</v>
          </cell>
          <cell r="B39" t="str">
            <v>ST</v>
          </cell>
          <cell r="C39" t="str">
            <v>ซอยสาทร 10 ถนนสาทร แขวงสีลม</v>
          </cell>
          <cell r="D39" t="str">
            <v>กรุงเทพมหานคร</v>
          </cell>
          <cell r="E39" t="str">
            <v>เขตบางรัก</v>
          </cell>
          <cell r="F39">
            <v>10500</v>
          </cell>
          <cell r="G39" t="e">
            <v>#N/A</v>
          </cell>
          <cell r="H39" t="str">
            <v>10035</v>
          </cell>
          <cell r="I39" t="str">
            <v>Life @ Sathorn 10</v>
          </cell>
          <cell r="J39" t="str">
            <v>APS</v>
          </cell>
          <cell r="K39" t="str">
            <v>4000</v>
          </cell>
          <cell r="L39" t="str">
            <v>New Project</v>
          </cell>
          <cell r="M39" t="str">
            <v>4000</v>
          </cell>
          <cell r="N39" t="str">
            <v>4/002</v>
          </cell>
        </row>
        <row r="40">
          <cell r="A40">
            <v>1009</v>
          </cell>
          <cell r="B40" t="str">
            <v>TB</v>
          </cell>
          <cell r="C40" t="str">
            <v>ถ.ราชพฤกษ์ ตำบล/แขวง บางค้อ</v>
          </cell>
          <cell r="D40" t="str">
            <v>อำเภอ/เขต จอมทอง กรุงเทพมหานคร</v>
          </cell>
          <cell r="E40">
            <v>0</v>
          </cell>
          <cell r="F40">
            <v>0</v>
          </cell>
          <cell r="G40" t="str">
            <v>Urbanion  สาทร-ตากสิน</v>
          </cell>
          <cell r="H40" t="str">
            <v>10036</v>
          </cell>
          <cell r="I40" t="str">
            <v>บ้านกลางเมือง สาทร-ตากสิน</v>
          </cell>
          <cell r="J40" t="str">
            <v>APD</v>
          </cell>
          <cell r="K40" t="str">
            <v>1000</v>
          </cell>
          <cell r="L40" t="str">
            <v>New Project</v>
          </cell>
          <cell r="M40" t="str">
            <v>1000</v>
          </cell>
          <cell r="N40" t="str">
            <v>1/009</v>
          </cell>
        </row>
        <row r="41">
          <cell r="A41">
            <v>1010</v>
          </cell>
          <cell r="B41" t="str">
            <v>SV</v>
          </cell>
          <cell r="C41" t="str">
            <v>ซ.สุขุมวิท 65 ถนนสุขุมวิท</v>
          </cell>
          <cell r="D41" t="str">
            <v>กรุงเทพมหานคร</v>
          </cell>
          <cell r="E41">
            <v>0</v>
          </cell>
          <cell r="F41">
            <v>0</v>
          </cell>
          <cell r="G41" t="e">
            <v>#N/A</v>
          </cell>
          <cell r="H41" t="str">
            <v>10038</v>
          </cell>
          <cell r="I41" t="str">
            <v>Life @ Sukhumvit 65</v>
          </cell>
          <cell r="J41" t="str">
            <v>APD</v>
          </cell>
          <cell r="K41" t="str">
            <v>1000</v>
          </cell>
          <cell r="L41" t="str">
            <v>New Project</v>
          </cell>
          <cell r="M41" t="str">
            <v>1000</v>
          </cell>
          <cell r="N41" t="str">
            <v>1/010</v>
          </cell>
        </row>
        <row r="42">
          <cell r="A42">
            <v>1011</v>
          </cell>
          <cell r="B42" t="str">
            <v>HK</v>
          </cell>
          <cell r="C42" t="str">
            <v>ถ.ประชาราษฎร์บำเพ็ญ แขวงห้วยขวาง เขตห้วยขวาง กทม.</v>
          </cell>
          <cell r="D42">
            <v>0</v>
          </cell>
          <cell r="E42" t="str">
            <v>เขตห้วยขวาง</v>
          </cell>
          <cell r="F42">
            <v>10310</v>
          </cell>
          <cell r="G42" t="str">
            <v>RHYTHM รัชดา - ห้วยขวาง</v>
          </cell>
          <cell r="H42" t="str">
            <v>10039</v>
          </cell>
          <cell r="I42" t="str">
            <v>Rhythm Ratchada 2</v>
          </cell>
          <cell r="J42" t="str">
            <v>APD</v>
          </cell>
          <cell r="K42" t="str">
            <v>1000</v>
          </cell>
          <cell r="L42" t="str">
            <v>New Project</v>
          </cell>
          <cell r="M42" t="str">
            <v>1000</v>
          </cell>
          <cell r="N42" t="str">
            <v>1/011</v>
          </cell>
        </row>
        <row r="43">
          <cell r="A43">
            <v>4003</v>
          </cell>
          <cell r="B43">
            <v>0</v>
          </cell>
          <cell r="C43" t="str">
            <v>ต.ประตูน้ำปทุมวัน(ประแจจีน)</v>
          </cell>
          <cell r="D43" t="str">
            <v>กรุงเทพมหานคร</v>
          </cell>
          <cell r="E43" t="str">
            <v>เขตดุสิต</v>
          </cell>
          <cell r="F43">
            <v>10300</v>
          </cell>
          <cell r="G43" t="str">
            <v>The Address ปทุมวัน ( อาคาร A)</v>
          </cell>
          <cell r="H43" t="str">
            <v>10041</v>
          </cell>
          <cell r="I43" t="str">
            <v>The Address ปทุมวัน</v>
          </cell>
          <cell r="J43" t="str">
            <v>TD</v>
          </cell>
          <cell r="K43" t="str">
            <v>4000</v>
          </cell>
          <cell r="L43" t="str">
            <v>New Project</v>
          </cell>
          <cell r="M43" t="str">
            <v>4000</v>
          </cell>
          <cell r="N43" t="str">
            <v>4/003</v>
          </cell>
        </row>
        <row r="44">
          <cell r="A44">
            <v>1012</v>
          </cell>
          <cell r="B44" t="str">
            <v>RT</v>
          </cell>
          <cell r="C44" t="str">
            <v>ริมถนนรัตนาธิเบศร์ ต.บางกระสอ</v>
          </cell>
          <cell r="D44" t="str">
            <v>จ.นนทบุรี</v>
          </cell>
          <cell r="E44" t="str">
            <v>เขตเมือง</v>
          </cell>
          <cell r="F44">
            <v>11000</v>
          </cell>
          <cell r="G44" t="str">
            <v>The City รัตนาธิเบศร์</v>
          </cell>
          <cell r="H44" t="str">
            <v>10042</v>
          </cell>
          <cell r="I44" t="str">
            <v>เดอะซิตี้ รัตนาธิเบศร์ - แคราย</v>
          </cell>
          <cell r="J44" t="str">
            <v>APD</v>
          </cell>
          <cell r="K44" t="str">
            <v>1000</v>
          </cell>
          <cell r="L44" t="str">
            <v>New Project</v>
          </cell>
          <cell r="M44" t="str">
            <v>1000</v>
          </cell>
          <cell r="N44" t="str">
            <v>1/012</v>
          </cell>
        </row>
        <row r="45">
          <cell r="A45">
            <v>1013</v>
          </cell>
          <cell r="B45" t="str">
            <v>SK</v>
          </cell>
          <cell r="C45" t="str">
            <v>ต.หนองบอน (พระโขนงฝั่งใต้)</v>
          </cell>
          <cell r="D45" t="str">
            <v>อ.ประเวศ(พระโขนง)</v>
          </cell>
          <cell r="E45" t="str">
            <v>เขตประเวศ</v>
          </cell>
          <cell r="F45">
            <v>10250</v>
          </cell>
          <cell r="G45" t="e">
            <v>#N/A</v>
          </cell>
          <cell r="H45" t="str">
            <v>10043</v>
          </cell>
          <cell r="I45" t="str">
            <v>บ้านกลางเมือง-ศรีนครินทร์ 3 (เสรี) - APD</v>
          </cell>
          <cell r="J45" t="str">
            <v>APD</v>
          </cell>
          <cell r="K45" t="str">
            <v>1000</v>
          </cell>
          <cell r="L45" t="str">
            <v>New Project</v>
          </cell>
          <cell r="M45" t="str">
            <v>1000</v>
          </cell>
          <cell r="N45" t="str">
            <v>1/013</v>
          </cell>
        </row>
        <row r="46">
          <cell r="A46">
            <v>1014</v>
          </cell>
          <cell r="B46" t="str">
            <v>AY</v>
          </cell>
          <cell r="C46" t="str">
            <v>ถนนพญาไท อำเภอดุสิต (ราชเทวี)  กรุงเทพมหานคร</v>
          </cell>
          <cell r="D46" t="str">
            <v>ถนนพญาไท</v>
          </cell>
          <cell r="E46" t="str">
            <v>เขตดุสิต</v>
          </cell>
          <cell r="F46">
            <v>10300</v>
          </cell>
          <cell r="G46" t="str">
            <v>The Address พญาไท</v>
          </cell>
          <cell r="H46" t="str">
            <v>10044</v>
          </cell>
          <cell r="I46" t="str">
            <v>The Address Phayathai</v>
          </cell>
          <cell r="J46" t="str">
            <v>APD</v>
          </cell>
          <cell r="K46" t="str">
            <v>1000</v>
          </cell>
          <cell r="L46" t="str">
            <v>New Project</v>
          </cell>
          <cell r="M46" t="str">
            <v>1000</v>
          </cell>
          <cell r="N46" t="str">
            <v>1/014</v>
          </cell>
        </row>
        <row r="47">
          <cell r="A47">
            <v>5001</v>
          </cell>
          <cell r="B47" t="str">
            <v>ST</v>
          </cell>
          <cell r="C47" t="str">
            <v>ซอย สาธร12 ถนนสาธร แขวงสีลม</v>
          </cell>
          <cell r="D47">
            <v>0</v>
          </cell>
          <cell r="E47" t="str">
            <v>เขตสาทร</v>
          </cell>
          <cell r="F47">
            <v>10500</v>
          </cell>
          <cell r="G47" t="str">
            <v>Life @ Sathorn 12</v>
          </cell>
          <cell r="H47" t="str">
            <v>10045</v>
          </cell>
          <cell r="I47" t="str">
            <v>Life @ Sathorn 12</v>
          </cell>
          <cell r="J47" t="str">
            <v>PSS</v>
          </cell>
          <cell r="K47" t="str">
            <v>5000</v>
          </cell>
          <cell r="L47" t="str">
            <v>New Project</v>
          </cell>
          <cell r="M47" t="str">
            <v>5000</v>
          </cell>
          <cell r="N47" t="str">
            <v>5/001</v>
          </cell>
        </row>
        <row r="48">
          <cell r="A48">
            <v>1015</v>
          </cell>
          <cell r="B48" t="str">
            <v>SV</v>
          </cell>
          <cell r="C48" t="str">
            <v>สุขุมวิท 113  ต.สำโรงเหนือง</v>
          </cell>
          <cell r="D48">
            <v>0</v>
          </cell>
          <cell r="E48" t="str">
            <v>อำเภอเมืองสมุทรปราการ</v>
          </cell>
          <cell r="F48">
            <v>10270</v>
          </cell>
          <cell r="G48" t="str">
            <v>Urbanion  สุขุมวิท 113</v>
          </cell>
          <cell r="H48" t="str">
            <v>10047</v>
          </cell>
          <cell r="I48" t="str">
            <v>บ้านกลางเมือง ทาวน์เฮ้าส สุขุมวิท 113 (วัดด่าน)</v>
          </cell>
          <cell r="J48" t="str">
            <v>APD</v>
          </cell>
          <cell r="K48" t="str">
            <v>1000</v>
          </cell>
          <cell r="L48" t="str">
            <v>New Project</v>
          </cell>
          <cell r="M48" t="str">
            <v>1000</v>
          </cell>
          <cell r="N48" t="str">
            <v>1/015</v>
          </cell>
        </row>
        <row r="49">
          <cell r="A49">
            <v>1016</v>
          </cell>
          <cell r="B49" t="str">
            <v>LP</v>
          </cell>
          <cell r="C49" t="str">
            <v>ซอยลาดพร้าว</v>
          </cell>
          <cell r="D49">
            <v>0</v>
          </cell>
          <cell r="E49">
            <v>0</v>
          </cell>
          <cell r="F49">
            <v>0</v>
          </cell>
          <cell r="G49" t="str">
            <v>Life @ ลาดพร้าว 18</v>
          </cell>
          <cell r="H49" t="str">
            <v>10048</v>
          </cell>
          <cell r="I49" t="str">
            <v>The Rhythm MRT Ladprao 18</v>
          </cell>
          <cell r="J49" t="str">
            <v>APD</v>
          </cell>
          <cell r="K49" t="str">
            <v>1000</v>
          </cell>
          <cell r="L49" t="str">
            <v>New Project</v>
          </cell>
          <cell r="M49" t="str">
            <v>1000</v>
          </cell>
          <cell r="N49" t="str">
            <v>1/016</v>
          </cell>
        </row>
        <row r="50">
          <cell r="A50">
            <v>6001</v>
          </cell>
          <cell r="B50">
            <v>0</v>
          </cell>
          <cell r="C50" t="str">
            <v>ถ.รัชดาภิเษก (ข้างสถานีรถไฟฟ้า 2,808 ตร.ว.)</v>
          </cell>
          <cell r="D50" t="str">
            <v>ต.สามเสนนอก (บางซื่อ)</v>
          </cell>
          <cell r="E50" t="str">
            <v>เขตห้วยขวาง</v>
          </cell>
          <cell r="F50">
            <v>10310</v>
          </cell>
          <cell r="G50" t="str">
            <v>RHYTHM รัชดา</v>
          </cell>
          <cell r="H50" t="str">
            <v>10049</v>
          </cell>
          <cell r="I50" t="str">
            <v>Rhythm รัชดา</v>
          </cell>
          <cell r="J50" t="str">
            <v>PSR</v>
          </cell>
          <cell r="K50" t="str">
            <v>6000</v>
          </cell>
          <cell r="L50" t="str">
            <v>New Project</v>
          </cell>
          <cell r="M50" t="str">
            <v>6000</v>
          </cell>
          <cell r="N50" t="str">
            <v>6/001</v>
          </cell>
        </row>
        <row r="51">
          <cell r="A51">
            <v>1017</v>
          </cell>
          <cell r="B51" t="str">
            <v>SV</v>
          </cell>
          <cell r="C51" t="str">
            <v>ซอยวัดด่านสำโรง ถนนสุขุมวิท</v>
          </cell>
          <cell r="D51" t="str">
            <v>ต.สำโรงเหนือ</v>
          </cell>
          <cell r="E51" t="str">
            <v>อำเภอเมืองสมุทรปราการ</v>
          </cell>
          <cell r="F51">
            <v>10270</v>
          </cell>
          <cell r="G51" t="str">
            <v>The Centro  สุขุมวิท 113</v>
          </cell>
          <cell r="H51" t="str">
            <v>10050</v>
          </cell>
          <cell r="I51" t="str">
            <v>เดอะเซ็นโทร สุขุมวิท 113 (ซอยวัดด่าน)</v>
          </cell>
          <cell r="J51" t="str">
            <v>APD</v>
          </cell>
          <cell r="K51" t="str">
            <v>1000</v>
          </cell>
          <cell r="L51" t="str">
            <v>New Project</v>
          </cell>
          <cell r="M51" t="str">
            <v>1000</v>
          </cell>
          <cell r="N51" t="str">
            <v>1/017</v>
          </cell>
        </row>
        <row r="52">
          <cell r="A52">
            <v>1018</v>
          </cell>
          <cell r="B52">
            <v>0</v>
          </cell>
          <cell r="C52" t="str">
            <v>ริมถนนลาดพร้าว ใกล้ศูนย์การค้า</v>
          </cell>
          <cell r="D52" t="str">
            <v>อิมพีเรียลเวิล์ดลาดพร้าว Big C ต.วังทองหลาง</v>
          </cell>
          <cell r="E52" t="str">
            <v>เขตวังทองหลาง</v>
          </cell>
          <cell r="F52">
            <v>10310</v>
          </cell>
          <cell r="G52" t="str">
            <v>Biz Town  ลาดพร้าว</v>
          </cell>
          <cell r="H52" t="str">
            <v>10051</v>
          </cell>
          <cell r="I52" t="str">
            <v>บ้านกลางกรุง BIZ Town ลาดพร้าว</v>
          </cell>
          <cell r="J52" t="str">
            <v>APD</v>
          </cell>
          <cell r="K52" t="str">
            <v>1000</v>
          </cell>
          <cell r="L52" t="str">
            <v>New Project</v>
          </cell>
          <cell r="M52" t="str">
            <v>1000</v>
          </cell>
          <cell r="N52" t="str">
            <v>1/018</v>
          </cell>
        </row>
        <row r="53">
          <cell r="A53">
            <v>3001</v>
          </cell>
          <cell r="B53" t="str">
            <v>SV</v>
          </cell>
          <cell r="C53" t="str">
            <v>ซอยสุขุมวิท 28</v>
          </cell>
          <cell r="D53" t="str">
            <v>กรุงเทพมหานคร</v>
          </cell>
          <cell r="E53" t="str">
            <v>เขตคลองเตย</v>
          </cell>
          <cell r="F53">
            <v>10110</v>
          </cell>
          <cell r="G53" t="str">
            <v>The Address  สุขุมวิท28</v>
          </cell>
          <cell r="H53" t="str">
            <v>10052</v>
          </cell>
          <cell r="I53" t="str">
            <v>the Address sukhumvit28</v>
          </cell>
          <cell r="J53" t="str">
            <v>APSV</v>
          </cell>
          <cell r="K53" t="str">
            <v>3000</v>
          </cell>
          <cell r="L53" t="str">
            <v>New Project</v>
          </cell>
          <cell r="M53" t="str">
            <v>3000</v>
          </cell>
          <cell r="N53" t="str">
            <v>3/001</v>
          </cell>
        </row>
        <row r="54">
          <cell r="A54">
            <v>1019</v>
          </cell>
          <cell r="B54" t="str">
            <v>SV</v>
          </cell>
          <cell r="C54" t="str">
            <v>ต.คลองเกร็ด</v>
          </cell>
          <cell r="D54" t="str">
            <v>กรุงเทพมหานคร</v>
          </cell>
          <cell r="E54" t="str">
            <v>เขตบางกะปิ</v>
          </cell>
          <cell r="F54">
            <v>10240</v>
          </cell>
          <cell r="G54" t="str">
            <v>The Centro  รามอินทรา</v>
          </cell>
          <cell r="H54" t="str">
            <v>10053</v>
          </cell>
          <cell r="I54" t="str">
            <v>The Centro รามอินทรา(แฟร์ชั่นไอร์แลนด์)</v>
          </cell>
          <cell r="J54" t="str">
            <v>APD</v>
          </cell>
          <cell r="K54" t="str">
            <v>1000</v>
          </cell>
          <cell r="L54" t="str">
            <v>New Project</v>
          </cell>
          <cell r="M54" t="str">
            <v>1000</v>
          </cell>
          <cell r="N54" t="str">
            <v>1/019</v>
          </cell>
        </row>
        <row r="55">
          <cell r="A55">
            <v>1020</v>
          </cell>
          <cell r="B55" t="str">
            <v>R5</v>
          </cell>
          <cell r="C55" t="str">
            <v>ฝังตรงข้ามห้องอาหารครัวเสวย</v>
          </cell>
          <cell r="D55" t="str">
            <v>ต.บางขุนทอง</v>
          </cell>
          <cell r="E55" t="str">
            <v>อ.บางใหญ่</v>
          </cell>
          <cell r="F55">
            <v>11140</v>
          </cell>
          <cell r="G55" t="str">
            <v>The City พระราม5 -ราชพฤกษ์</v>
          </cell>
          <cell r="H55" t="str">
            <v>10054</v>
          </cell>
          <cell r="I55" t="str">
            <v>The City พระราม 5 - ราชพฤกษ์ (พระราม 5 - นครอินทร์</v>
          </cell>
          <cell r="J55" t="str">
            <v>APD</v>
          </cell>
          <cell r="K55" t="str">
            <v>1000</v>
          </cell>
          <cell r="L55" t="str">
            <v>New Project</v>
          </cell>
          <cell r="M55" t="str">
            <v>1000</v>
          </cell>
          <cell r="N55" t="str">
            <v>1/020</v>
          </cell>
        </row>
        <row r="56">
          <cell r="A56">
            <v>4004</v>
          </cell>
          <cell r="B56" t="str">
            <v>SK</v>
          </cell>
          <cell r="C56" t="str">
            <v>ต.หนองบอน (พระโขนงฝั่งใต้)</v>
          </cell>
          <cell r="D56" t="str">
            <v>อ.ประเวศ(พระโขนง)</v>
          </cell>
          <cell r="E56" t="str">
            <v>เขตประเวศน์</v>
          </cell>
          <cell r="F56">
            <v>10250</v>
          </cell>
          <cell r="G56" t="str">
            <v>Biz Town  ศรีนครินทร์</v>
          </cell>
          <cell r="H56" t="str">
            <v>10055</v>
          </cell>
          <cell r="I56" t="str">
            <v>บ้านกลางเมือง Biztown ศรีนครินทร์ 3 (เสรี) - APR</v>
          </cell>
          <cell r="J56" t="str">
            <v>APR</v>
          </cell>
          <cell r="K56" t="str">
            <v>4000</v>
          </cell>
          <cell r="L56" t="str">
            <v>New Project</v>
          </cell>
          <cell r="M56" t="str">
            <v>4000</v>
          </cell>
          <cell r="N56" t="str">
            <v>4/004</v>
          </cell>
        </row>
        <row r="57">
          <cell r="A57">
            <v>2002</v>
          </cell>
          <cell r="B57" t="str">
            <v>SK</v>
          </cell>
          <cell r="C57" t="str">
            <v>ต.หนองบอน (พระโขนงฝั่งใต้)</v>
          </cell>
          <cell r="D57" t="str">
            <v>อ.ประเวศ(พระโขนง)</v>
          </cell>
          <cell r="E57" t="str">
            <v>เขตประเวศน์</v>
          </cell>
          <cell r="F57">
            <v>10250</v>
          </cell>
          <cell r="G57" t="str">
            <v>Urbanion  ศรีนครินทร์</v>
          </cell>
          <cell r="H57" t="str">
            <v>10056</v>
          </cell>
          <cell r="I57" t="str">
            <v>บ้านกลางเมือง Urbanion ศรีนครินทร์ 3 (เสรี) - APK</v>
          </cell>
          <cell r="J57" t="str">
            <v>APK</v>
          </cell>
          <cell r="K57" t="str">
            <v>2000</v>
          </cell>
          <cell r="L57" t="str">
            <v>New Project</v>
          </cell>
          <cell r="M57" t="str">
            <v>2000</v>
          </cell>
          <cell r="N57" t="str">
            <v>2/002</v>
          </cell>
        </row>
        <row r="58">
          <cell r="A58">
            <v>1021</v>
          </cell>
          <cell r="B58">
            <v>0</v>
          </cell>
          <cell r="C58" t="str">
            <v>ต.ประตูน้ำปทุมวัน(ประแจจีน)</v>
          </cell>
          <cell r="D58" t="str">
            <v>กรุงเทพมหานคร</v>
          </cell>
          <cell r="E58" t="str">
            <v>เขตดุสิต</v>
          </cell>
          <cell r="F58">
            <v>10300</v>
          </cell>
          <cell r="G58" t="str">
            <v>The Address ปทุมวัน ( อาคาร B)</v>
          </cell>
          <cell r="H58" t="str">
            <v>10057</v>
          </cell>
          <cell r="I58" t="str">
            <v>The Address pathumwan Bldg-A (สยาม2)</v>
          </cell>
          <cell r="J58" t="str">
            <v>APD</v>
          </cell>
          <cell r="K58" t="str">
            <v>1000</v>
          </cell>
          <cell r="L58" t="str">
            <v>New Project</v>
          </cell>
          <cell r="M58" t="str">
            <v>1000</v>
          </cell>
          <cell r="N58" t="str">
            <v>1/021</v>
          </cell>
        </row>
        <row r="59">
          <cell r="A59">
            <v>1022</v>
          </cell>
          <cell r="B59" t="str">
            <v>RT</v>
          </cell>
          <cell r="C59" t="str">
            <v>ริมถนนรัตนาธิเบศร์ ต.บางกะสอ</v>
          </cell>
          <cell r="D59" t="str">
            <v>อ.เมือง จ.นนทบุรี</v>
          </cell>
          <cell r="E59" t="str">
            <v>อ.เมืองนนทบุรี</v>
          </cell>
          <cell r="F59">
            <v>11000</v>
          </cell>
          <cell r="G59" t="e">
            <v>#N/A</v>
          </cell>
          <cell r="H59" t="str">
            <v>10059</v>
          </cell>
          <cell r="I59" t="str">
            <v>ถนน รัตนาธิเบศร์ (คอนโด)</v>
          </cell>
          <cell r="J59" t="str">
            <v>APD</v>
          </cell>
          <cell r="K59" t="str">
            <v>1000</v>
          </cell>
          <cell r="L59" t="str">
            <v>New Project</v>
          </cell>
          <cell r="M59" t="str">
            <v>1000</v>
          </cell>
          <cell r="N59" t="str">
            <v>1/022</v>
          </cell>
        </row>
        <row r="60">
          <cell r="A60">
            <v>1023</v>
          </cell>
          <cell r="B60" t="str">
            <v>BT</v>
          </cell>
          <cell r="C60" t="str">
            <v>ถ.บางกรวย - ไทรน้อย</v>
          </cell>
          <cell r="D60" t="str">
            <v>ต.บางเลน อ.บางใหญ่</v>
          </cell>
          <cell r="E60" t="str">
            <v>อ.บางใหญ่</v>
          </cell>
          <cell r="F60">
            <v>11140</v>
          </cell>
          <cell r="G60" t="str">
            <v>The Centro  รัตนาธิเบศร์</v>
          </cell>
          <cell r="H60" t="str">
            <v>10060</v>
          </cell>
          <cell r="I60" t="str">
            <v>โครงการ The Centro รัตนาธิเบศร์ (วัดสวนแก้ว)</v>
          </cell>
          <cell r="J60" t="str">
            <v>APD</v>
          </cell>
          <cell r="K60" t="str">
            <v>1000</v>
          </cell>
          <cell r="L60" t="str">
            <v>New Project</v>
          </cell>
          <cell r="M60" t="str">
            <v>1000</v>
          </cell>
          <cell r="N60" t="str">
            <v>1/023</v>
          </cell>
        </row>
        <row r="61">
          <cell r="A61">
            <v>1024</v>
          </cell>
          <cell r="B61" t="str">
            <v>LP</v>
          </cell>
          <cell r="C61" t="str">
            <v>ใต้ทางด่วนรามอินทรา</v>
          </cell>
          <cell r="D61" t="str">
            <v>วังทองหลาง</v>
          </cell>
          <cell r="E61" t="str">
            <v>เขตวังทองหลาง</v>
          </cell>
          <cell r="F61">
            <v>10310</v>
          </cell>
          <cell r="G61" t="str">
            <v>Urbanion  พระราม9 - ลาดพร้าว</v>
          </cell>
          <cell r="H61" t="str">
            <v>10061</v>
          </cell>
          <cell r="I61" t="str">
            <v>บ้านกลางเมืองUrbanionพระราม9-ลาดพร้าว (ลาดพร้าว84)</v>
          </cell>
          <cell r="J61" t="str">
            <v>APD</v>
          </cell>
          <cell r="K61" t="str">
            <v>1000</v>
          </cell>
          <cell r="L61" t="str">
            <v>New Project</v>
          </cell>
          <cell r="M61" t="str">
            <v>1000</v>
          </cell>
          <cell r="N61" t="str">
            <v>1/024</v>
          </cell>
        </row>
        <row r="62">
          <cell r="A62">
            <v>1025</v>
          </cell>
          <cell r="B62">
            <v>0</v>
          </cell>
          <cell r="C62" t="str">
            <v>ต. บางกะปิ (ลาดพร้าวฝั่งเหนือ)</v>
          </cell>
          <cell r="D62" t="str">
            <v>อ.บางกะปิ กทม</v>
          </cell>
          <cell r="E62">
            <v>0</v>
          </cell>
          <cell r="F62">
            <v>0</v>
          </cell>
          <cell r="G62" t="str">
            <v>The Address อโศก - เพชรบุรี</v>
          </cell>
          <cell r="H62" t="str">
            <v>10062</v>
          </cell>
          <cell r="I62" t="str">
            <v>The Address Asoke (อโศก-เพชร)</v>
          </cell>
          <cell r="J62" t="str">
            <v>APD</v>
          </cell>
          <cell r="K62" t="str">
            <v>1000</v>
          </cell>
          <cell r="L62" t="str">
            <v>New Project</v>
          </cell>
          <cell r="M62" t="str">
            <v>1000</v>
          </cell>
          <cell r="N62" t="str">
            <v>1/025</v>
          </cell>
        </row>
        <row r="63">
          <cell r="A63">
            <v>1026</v>
          </cell>
          <cell r="B63" t="str">
            <v>HK</v>
          </cell>
          <cell r="C63" t="str">
            <v>ต.สามเสนนอก   อ.บางกะปิ</v>
          </cell>
          <cell r="D63">
            <v>0</v>
          </cell>
          <cell r="E63" t="str">
            <v>เขตบางกะปิ</v>
          </cell>
          <cell r="F63">
            <v>10240</v>
          </cell>
          <cell r="G63" t="e">
            <v>#N/A</v>
          </cell>
          <cell r="H63" t="str">
            <v>10063</v>
          </cell>
          <cell r="I63" t="str">
            <v>โครงการห้วยขวาง/3</v>
          </cell>
          <cell r="J63" t="str">
            <v>APD</v>
          </cell>
          <cell r="K63" t="str">
            <v>1000</v>
          </cell>
          <cell r="L63" t="str">
            <v>New Project</v>
          </cell>
          <cell r="M63" t="str">
            <v>1000</v>
          </cell>
          <cell r="N63" t="str">
            <v>1/026</v>
          </cell>
        </row>
        <row r="64">
          <cell r="A64">
            <v>1027</v>
          </cell>
          <cell r="B64" t="str">
            <v>SV</v>
          </cell>
          <cell r="C64" t="str">
            <v>ถ.สุขุมวิท ซอย 50  เขตพระโขนง</v>
          </cell>
          <cell r="D64">
            <v>0</v>
          </cell>
          <cell r="E64" t="str">
            <v>เขตพระโขนง</v>
          </cell>
          <cell r="F64">
            <v>10260</v>
          </cell>
          <cell r="G64" t="str">
            <v>RHYTHM  สุขุมวิท 50</v>
          </cell>
          <cell r="H64" t="str">
            <v>10065</v>
          </cell>
          <cell r="I64" t="str">
            <v>สุขุมวิท 50 ใกล้ห้างโลตัส</v>
          </cell>
          <cell r="J64" t="str">
            <v>APD</v>
          </cell>
          <cell r="K64" t="str">
            <v>1000</v>
          </cell>
          <cell r="L64" t="str">
            <v>New Project</v>
          </cell>
          <cell r="M64" t="str">
            <v>1000</v>
          </cell>
          <cell r="N64" t="str">
            <v>1/027</v>
          </cell>
        </row>
        <row r="65">
          <cell r="A65">
            <v>1028</v>
          </cell>
          <cell r="B65" t="str">
            <v>LB</v>
          </cell>
          <cell r="C65">
            <v>0</v>
          </cell>
          <cell r="D65">
            <v>0</v>
          </cell>
          <cell r="E65" t="str">
            <v>เขตลาดกระบัง</v>
          </cell>
          <cell r="F65">
            <v>10520</v>
          </cell>
          <cell r="G65" t="str">
            <v xml:space="preserve">The City อ่อนนุช - วงแหวน   </v>
          </cell>
          <cell r="H65" t="str">
            <v>10067</v>
          </cell>
          <cell r="I65" t="str">
            <v>ลาดกระบัง (วัดลานบุญ)</v>
          </cell>
          <cell r="J65" t="str">
            <v>APD</v>
          </cell>
          <cell r="K65" t="str">
            <v>1000</v>
          </cell>
          <cell r="L65" t="str">
            <v>New Project</v>
          </cell>
          <cell r="M65" t="str">
            <v>1000</v>
          </cell>
          <cell r="N65" t="str">
            <v>1/028</v>
          </cell>
        </row>
        <row r="66">
          <cell r="A66">
            <v>1029</v>
          </cell>
          <cell r="B66">
            <v>0</v>
          </cell>
          <cell r="C66" t="str">
            <v>อำเภอบางกรวย จังหวัดนนทบุรี</v>
          </cell>
          <cell r="D66">
            <v>0</v>
          </cell>
          <cell r="E66">
            <v>0</v>
          </cell>
          <cell r="F66">
            <v>0</v>
          </cell>
          <cell r="G66" t="str">
            <v xml:space="preserve">The City พระราม5 -ราชพฤกษ์ 2  </v>
          </cell>
          <cell r="H66" t="str">
            <v>10068</v>
          </cell>
          <cell r="I66" t="str">
            <v>โครงการ วัดจำปา (บางขุนกรอง)</v>
          </cell>
          <cell r="J66" t="str">
            <v>APD</v>
          </cell>
          <cell r="K66" t="str">
            <v>1000</v>
          </cell>
          <cell r="L66" t="str">
            <v>New Project</v>
          </cell>
          <cell r="M66" t="str">
            <v>1000</v>
          </cell>
          <cell r="N66" t="str">
            <v>1/029</v>
          </cell>
        </row>
        <row r="67">
          <cell r="A67">
            <v>1030</v>
          </cell>
          <cell r="B67">
            <v>0</v>
          </cell>
          <cell r="C67" t="str">
            <v>ใต้ทางด่วนรามอินทรา</v>
          </cell>
          <cell r="D67" t="str">
            <v>วังทองหลาง</v>
          </cell>
          <cell r="E67" t="str">
            <v>เขตวังทองหลาง</v>
          </cell>
          <cell r="F67">
            <v>10310</v>
          </cell>
          <cell r="G67" t="e">
            <v>#N/A</v>
          </cell>
          <cell r="H67" t="str">
            <v>10071</v>
          </cell>
          <cell r="I67" t="str">
            <v>โครงการ ลาดพร้าว84/2</v>
          </cell>
          <cell r="J67" t="str">
            <v>APD</v>
          </cell>
          <cell r="K67" t="str">
            <v>1000</v>
          </cell>
          <cell r="L67" t="str">
            <v>New Project</v>
          </cell>
          <cell r="M67" t="str">
            <v>1000</v>
          </cell>
          <cell r="N67" t="str">
            <v>1/030</v>
          </cell>
        </row>
        <row r="68">
          <cell r="A68">
            <v>1031</v>
          </cell>
          <cell r="B68" t="str">
            <v>PD</v>
          </cell>
          <cell r="C68" t="str">
            <v>ตำบลบางพึ่ง อำเภอพระประแดง</v>
          </cell>
          <cell r="D68" t="str">
            <v>จังหวัดสมุทรปราการ</v>
          </cell>
          <cell r="E68" t="str">
            <v>อำเภอพระประแดง</v>
          </cell>
          <cell r="F68">
            <v>10130</v>
          </cell>
          <cell r="G68" t="str">
            <v>Urbanion  พระราม3 -สุขสวัสดิ์</v>
          </cell>
          <cell r="H68" t="str">
            <v>10073</v>
          </cell>
          <cell r="I68" t="str">
            <v>บ้านกลางเมือง สุขสวัสดิ์</v>
          </cell>
          <cell r="J68" t="str">
            <v>APD</v>
          </cell>
          <cell r="K68" t="str">
            <v>1000</v>
          </cell>
          <cell r="L68" t="str">
            <v>New Project</v>
          </cell>
          <cell r="M68" t="str">
            <v>1000</v>
          </cell>
          <cell r="N68" t="str">
            <v>1/031</v>
          </cell>
        </row>
        <row r="69">
          <cell r="A69">
            <v>1032</v>
          </cell>
          <cell r="B69" t="str">
            <v>ST</v>
          </cell>
          <cell r="C69" t="str">
            <v>ถ.เจริญราษฎร์ แขวงบางใหม่</v>
          </cell>
          <cell r="D69">
            <v>0</v>
          </cell>
          <cell r="E69" t="str">
            <v>เขตบางคอแหลม</v>
          </cell>
          <cell r="F69">
            <v>10120</v>
          </cell>
          <cell r="G69" t="str">
            <v>บ้านกลางกรุง สาทร (เหนือ-ใต้)</v>
          </cell>
          <cell r="H69" t="str">
            <v>10074</v>
          </cell>
          <cell r="I69" t="str">
            <v>บ้านกลางกรุง สาทร (สาทรเหนือ-ใต้2)</v>
          </cell>
          <cell r="J69" t="str">
            <v>APD</v>
          </cell>
          <cell r="K69" t="str">
            <v>1000</v>
          </cell>
          <cell r="L69" t="str">
            <v>New Project</v>
          </cell>
          <cell r="M69" t="str">
            <v>1000</v>
          </cell>
          <cell r="N69" t="str">
            <v>1/032</v>
          </cell>
        </row>
        <row r="70">
          <cell r="A70">
            <v>1033</v>
          </cell>
          <cell r="B70" t="str">
            <v>TP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 t="e">
            <v>#N/A</v>
          </cell>
          <cell r="H70" t="str">
            <v>10075</v>
          </cell>
          <cell r="I70" t="str">
            <v>โครงการ บ้านกลางเมือง สาทร-ตากสิน 2</v>
          </cell>
          <cell r="J70" t="str">
            <v>APD</v>
          </cell>
          <cell r="K70" t="str">
            <v>1000</v>
          </cell>
          <cell r="L70" t="str">
            <v>New Project</v>
          </cell>
          <cell r="M70" t="str">
            <v>1000</v>
          </cell>
          <cell r="N70" t="str">
            <v>1/033</v>
          </cell>
        </row>
        <row r="71">
          <cell r="A71">
            <v>1034</v>
          </cell>
          <cell r="B71">
            <v>0</v>
          </cell>
          <cell r="C71" t="str">
            <v>ถ.สุขาภิบาล 5 ซอย 76</v>
          </cell>
          <cell r="D71">
            <v>0</v>
          </cell>
          <cell r="E71" t="str">
            <v>เขตสายไหม</v>
          </cell>
          <cell r="F71">
            <v>10220</v>
          </cell>
          <cell r="G71" t="e">
            <v>#N/A</v>
          </cell>
          <cell r="H71" t="str">
            <v>10077</v>
          </cell>
          <cell r="I71" t="str">
            <v>โครงการวัชรพล</v>
          </cell>
          <cell r="J71" t="str">
            <v>APD</v>
          </cell>
          <cell r="K71" t="str">
            <v>1000</v>
          </cell>
          <cell r="L71" t="str">
            <v>New Project</v>
          </cell>
          <cell r="M71" t="str">
            <v>1000</v>
          </cell>
          <cell r="N71" t="str">
            <v>1/034</v>
          </cell>
        </row>
        <row r="72">
          <cell r="A72">
            <v>1035</v>
          </cell>
          <cell r="B72">
            <v>0</v>
          </cell>
          <cell r="C72" t="str">
            <v>ต.จรเข้บัว อ.บางกระปิ กรุงเทพ</v>
          </cell>
          <cell r="D72">
            <v>0</v>
          </cell>
          <cell r="E72">
            <v>0</v>
          </cell>
          <cell r="F72">
            <v>0</v>
          </cell>
          <cell r="G72" t="str">
            <v>Urbanion  ลาดพร้าว - เสนา</v>
          </cell>
          <cell r="H72" t="str">
            <v>10079</v>
          </cell>
          <cell r="I72" t="str">
            <v>บ้านกลางเมือง Urbanion ลาดพร้าว -เสนา</v>
          </cell>
          <cell r="J72" t="str">
            <v>APD</v>
          </cell>
          <cell r="K72" t="str">
            <v>1000</v>
          </cell>
          <cell r="L72" t="str">
            <v>New Project</v>
          </cell>
          <cell r="M72" t="str">
            <v>1000</v>
          </cell>
          <cell r="N72" t="str">
            <v>1/035</v>
          </cell>
        </row>
        <row r="73">
          <cell r="A73">
            <v>1036</v>
          </cell>
          <cell r="B73">
            <v>0</v>
          </cell>
          <cell r="C73" t="str">
            <v>ถนน กัลปพฤกษ์ บางขุนเทียน กรุงเทพ</v>
          </cell>
          <cell r="D73">
            <v>0</v>
          </cell>
          <cell r="E73">
            <v>0</v>
          </cell>
          <cell r="F73">
            <v>0</v>
          </cell>
          <cell r="G73" t="str">
            <v>The City กัลปพฤกษ์</v>
          </cell>
          <cell r="H73" t="str">
            <v>10080</v>
          </cell>
          <cell r="I73" t="str">
            <v>กัลป์พฤกษ์</v>
          </cell>
          <cell r="J73" t="str">
            <v>APD</v>
          </cell>
          <cell r="K73" t="str">
            <v>1000</v>
          </cell>
          <cell r="L73" t="str">
            <v>New Project</v>
          </cell>
          <cell r="M73" t="str">
            <v>1000</v>
          </cell>
          <cell r="N73" t="str">
            <v>1/036</v>
          </cell>
        </row>
        <row r="74">
          <cell r="A74">
            <v>2003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 t="e">
            <v>#N/A</v>
          </cell>
          <cell r="H74" t="str">
            <v>10081</v>
          </cell>
          <cell r="I74" t="str">
            <v>โครงการลานบุญ 2 (ทาวน์เฮาส์)</v>
          </cell>
          <cell r="J74" t="str">
            <v>APK</v>
          </cell>
          <cell r="K74" t="str">
            <v>2000</v>
          </cell>
          <cell r="L74" t="str">
            <v>New Project</v>
          </cell>
          <cell r="M74" t="str">
            <v>2000</v>
          </cell>
          <cell r="N74" t="str">
            <v>2/003</v>
          </cell>
        </row>
        <row r="75">
          <cell r="A75">
            <v>1037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 t="str">
            <v>RHYTHM พหล - อารีย์</v>
          </cell>
          <cell r="H75" t="str">
            <v>10082</v>
          </cell>
          <cell r="I75" t="str">
            <v>พหลอารีย์ 2</v>
          </cell>
          <cell r="J75" t="str">
            <v>APD</v>
          </cell>
          <cell r="K75" t="str">
            <v>1000</v>
          </cell>
          <cell r="L75" t="str">
            <v>New Project</v>
          </cell>
          <cell r="M75" t="str">
            <v>1000</v>
          </cell>
          <cell r="N75" t="str">
            <v>1/037</v>
          </cell>
        </row>
        <row r="76">
          <cell r="A76">
            <v>1038</v>
          </cell>
          <cell r="B76" t="str">
            <v>PD</v>
          </cell>
          <cell r="C76" t="str">
            <v>ตำบลบางพึ่ง อำเภอพระประแดง</v>
          </cell>
          <cell r="D76" t="str">
            <v>จังหวัดสมุทรปราการ</v>
          </cell>
          <cell r="E76" t="str">
            <v>อำเภอพระประแดง</v>
          </cell>
          <cell r="F76">
            <v>10130</v>
          </cell>
          <cell r="G76" t="str">
            <v>Biz Town  พระราม3 - สุขสวัสดิ์</v>
          </cell>
          <cell r="H76" t="str">
            <v>10083</v>
          </cell>
          <cell r="I76" t="str">
            <v>Biztown สุขสวัสดิ์</v>
          </cell>
          <cell r="J76" t="str">
            <v>APD</v>
          </cell>
          <cell r="K76" t="str">
            <v>1000</v>
          </cell>
          <cell r="L76" t="str">
            <v>New Project</v>
          </cell>
          <cell r="M76" t="str">
            <v>1000</v>
          </cell>
          <cell r="N76" t="str">
            <v>1/038</v>
          </cell>
        </row>
        <row r="77">
          <cell r="A77">
            <v>1039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 t="e">
            <v>#N/A</v>
          </cell>
          <cell r="H77" t="str">
            <v>10086</v>
          </cell>
          <cell r="I77" t="str">
            <v>สาทร-ตากสิน3 (คอนโด)</v>
          </cell>
          <cell r="J77" t="str">
            <v>APD</v>
          </cell>
          <cell r="K77" t="str">
            <v>1000</v>
          </cell>
          <cell r="L77" t="str">
            <v>New Project</v>
          </cell>
          <cell r="M77" t="str">
            <v>1000</v>
          </cell>
          <cell r="N77" t="str">
            <v>1/039</v>
          </cell>
        </row>
        <row r="78">
          <cell r="A78">
            <v>1040</v>
          </cell>
          <cell r="B78">
            <v>0</v>
          </cell>
          <cell r="C78" t="str">
            <v>สาทร21 สีลม</v>
          </cell>
          <cell r="D78" t="str">
            <v>บางรัก</v>
          </cell>
          <cell r="E78">
            <v>0</v>
          </cell>
          <cell r="F78">
            <v>0</v>
          </cell>
          <cell r="G78" t="str">
            <v>RHYTHM  สาทร21</v>
          </cell>
          <cell r="H78" t="str">
            <v>10087</v>
          </cell>
          <cell r="I78" t="str">
            <v>สาธร 21</v>
          </cell>
          <cell r="J78" t="str">
            <v>APD</v>
          </cell>
          <cell r="K78" t="str">
            <v>1000</v>
          </cell>
          <cell r="L78" t="str">
            <v>New Project</v>
          </cell>
          <cell r="M78" t="str">
            <v>1000</v>
          </cell>
          <cell r="N78" t="str">
            <v>1/040</v>
          </cell>
        </row>
        <row r="79">
          <cell r="A79">
            <v>1041</v>
          </cell>
          <cell r="B79" t="str">
            <v>PD</v>
          </cell>
          <cell r="C79" t="str">
            <v>ตำบลบางพึ่ง อำเภอพระประแดง</v>
          </cell>
          <cell r="D79" t="str">
            <v>จังหวัดสมุทรปราการ</v>
          </cell>
          <cell r="E79" t="str">
            <v>อำเภอพระประแดง</v>
          </cell>
          <cell r="F79">
            <v>10130</v>
          </cell>
          <cell r="G79" t="str">
            <v>The City สุขสวัสดิ์</v>
          </cell>
          <cell r="H79" t="str">
            <v>10088</v>
          </cell>
          <cell r="I79" t="str">
            <v>The City - สุขสวัสดิ์</v>
          </cell>
          <cell r="J79" t="str">
            <v>APD</v>
          </cell>
          <cell r="K79" t="str">
            <v>1000</v>
          </cell>
          <cell r="L79" t="str">
            <v>New Project</v>
          </cell>
          <cell r="M79" t="str">
            <v>1000</v>
          </cell>
          <cell r="N79" t="str">
            <v>1/041</v>
          </cell>
        </row>
      </sheetData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No. 2 - Carpark"/>
      <sheetName val="ANALYSIS"/>
      <sheetName val="resource1"/>
    </sheetNames>
    <sheetDataSet>
      <sheetData sheetId="0" refreshError="1">
        <row r="4">
          <cell r="A4" t="str">
            <v>BIG  C   SUPERCENTER,  RAJDAMRI,  BANGKOK   -   MAIN  BUILDING  WORKS</v>
          </cell>
        </row>
        <row r="5">
          <cell r="A5" t="str">
            <v xml:space="preserve"> </v>
          </cell>
        </row>
        <row r="6">
          <cell r="A6" t="str">
            <v>BILL  No.  2    :    STRUCTURE  WORKS     -    CARPARK  BLOCK</v>
          </cell>
        </row>
        <row r="9">
          <cell r="A9" t="str">
            <v>Item</v>
          </cell>
          <cell r="C9" t="str">
            <v>Description  of   Work</v>
          </cell>
        </row>
        <row r="14">
          <cell r="C14" t="str">
            <v>SUBSTRUCTURE  WORKS</v>
          </cell>
        </row>
        <row r="16">
          <cell r="A16" t="str">
            <v>1.</v>
          </cell>
          <cell r="C16" t="str">
            <v>EXCAVATION  AND  PREPARATION  WORKS</v>
          </cell>
        </row>
        <row r="18">
          <cell r="A18" t="str">
            <v>A.</v>
          </cell>
          <cell r="C18" t="str">
            <v>Excavation for basements, sumps and the like</v>
          </cell>
        </row>
        <row r="19">
          <cell r="C19" t="str">
            <v>commencing from existing ground level to</v>
          </cell>
        </row>
        <row r="20">
          <cell r="C20" t="str">
            <v>reduced level including working carefully around</v>
          </cell>
        </row>
        <row r="21">
          <cell r="C21" t="str">
            <v>and exposing precast concrete pile / bored pile.</v>
          </cell>
        </row>
        <row r="23">
          <cell r="A23" t="str">
            <v>B.</v>
          </cell>
          <cell r="C23" t="str">
            <v xml:space="preserve">Excavation for pile caps and the like commencing  </v>
          </cell>
        </row>
        <row r="24">
          <cell r="C24" t="str">
            <v xml:space="preserve">from reduced  level including working carefully  </v>
          </cell>
        </row>
        <row r="25">
          <cell r="C25" t="str">
            <v>around and exposing precast concrete piles /</v>
          </cell>
        </row>
        <row r="26">
          <cell r="C26" t="str">
            <v>bored pile.</v>
          </cell>
        </row>
        <row r="28">
          <cell r="A28" t="str">
            <v>C.</v>
          </cell>
          <cell r="C28" t="str">
            <v>Removing surplus excavated materials off site to</v>
          </cell>
        </row>
        <row r="29">
          <cell r="C29" t="str">
            <v>Contractor's own dump.</v>
          </cell>
        </row>
        <row r="31">
          <cell r="A31" t="str">
            <v>D.</v>
          </cell>
          <cell r="C31" t="str">
            <v>Allow  for  necessary  demolition  of  existing</v>
          </cell>
        </row>
        <row r="32">
          <cell r="C32" t="str">
            <v>slab  and  walls  during  excavation  works.</v>
          </cell>
        </row>
        <row r="35">
          <cell r="C35" t="str">
            <v>Water  Disposal</v>
          </cell>
        </row>
        <row r="37">
          <cell r="A37" t="str">
            <v>E.</v>
          </cell>
          <cell r="C37" t="str">
            <v>Keeping the site  and  the  whole  of  the  excavation</v>
          </cell>
        </row>
        <row r="38">
          <cell r="C38" t="str">
            <v>areas free from all surface, ground and subterranean</v>
          </cell>
        </row>
        <row r="39">
          <cell r="C39" t="str">
            <v>water including network of temporary drains,</v>
          </cell>
        </row>
        <row r="40">
          <cell r="C40" t="str">
            <v>sumps, pumps and desilting basin as required.</v>
          </cell>
        </row>
        <row r="43">
          <cell r="C43" t="str">
            <v>Surface  Treatment</v>
          </cell>
        </row>
        <row r="45">
          <cell r="A45" t="str">
            <v>F.</v>
          </cell>
          <cell r="C45" t="str">
            <v>Anti-termite treatment to all soil in contact with</v>
          </cell>
        </row>
        <row r="46">
          <cell r="C46" t="str">
            <v>building structure to be executed by an approved</v>
          </cell>
        </row>
        <row r="47">
          <cell r="C47" t="str">
            <v>firm, with and including provision of a certificate</v>
          </cell>
        </row>
        <row r="48">
          <cell r="C48" t="str">
            <v>of ten year guarantee.   (Approximately     930     m2)</v>
          </cell>
        </row>
        <row r="52">
          <cell r="C52" t="str">
            <v>Total   Carried   to   Collection</v>
          </cell>
        </row>
        <row r="55">
          <cell r="C55" t="str">
            <v>SUBSTRUCTURE  WORKS</v>
          </cell>
        </row>
        <row r="57">
          <cell r="A57" t="str">
            <v>1.</v>
          </cell>
          <cell r="C57" t="str">
            <v>EXCAVATION  AND  PREPARATION  WORKS</v>
          </cell>
        </row>
        <row r="58">
          <cell r="C58" t="str">
            <v>(Cont'd)</v>
          </cell>
        </row>
        <row r="60">
          <cell r="C60" t="str">
            <v>Cut off top of the piles to the required cut off</v>
          </cell>
        </row>
        <row r="61">
          <cell r="C61" t="str">
            <v>level including any trimming, stripping, exposing</v>
          </cell>
        </row>
        <row r="62">
          <cell r="C62" t="str">
            <v xml:space="preserve">straightening  and  bending  reinforcement  in </v>
          </cell>
        </row>
        <row r="63">
          <cell r="C63" t="str">
            <v>position for pile caps connections and remove</v>
          </cell>
        </row>
        <row r="64">
          <cell r="C64" t="str">
            <v xml:space="preserve">all debris off the Site.                                      </v>
          </cell>
        </row>
        <row r="66">
          <cell r="A66" t="str">
            <v>A.</v>
          </cell>
          <cell r="C66" t="str">
            <v>1000  mm Diameter  bored  pile</v>
          </cell>
        </row>
        <row r="68">
          <cell r="A68" t="str">
            <v>B.</v>
          </cell>
          <cell r="C68" t="str">
            <v>1200  mm Diameter  bored  pile</v>
          </cell>
        </row>
        <row r="70">
          <cell r="A70" t="str">
            <v>C.</v>
          </cell>
          <cell r="C70" t="str">
            <v>1800  mm Diameter  bored  pile</v>
          </cell>
        </row>
        <row r="72">
          <cell r="A72" t="str">
            <v>D.</v>
          </cell>
          <cell r="C72" t="str">
            <v>180 x 180 Precast  I  piles</v>
          </cell>
        </row>
        <row r="77">
          <cell r="C77" t="str">
            <v xml:space="preserve">Allow  for  any  other  items  not  described  above  but </v>
          </cell>
        </row>
        <row r="78">
          <cell r="C78" t="str">
            <v xml:space="preserve">deemed  necessary  to  complete  the  whole  works :-    </v>
          </cell>
        </row>
        <row r="92">
          <cell r="C92" t="str">
            <v>Total   Carried   to   Collection</v>
          </cell>
        </row>
        <row r="95">
          <cell r="C95" t="str">
            <v>SUBSTRUCTURE  WORKS</v>
          </cell>
        </row>
        <row r="97">
          <cell r="A97" t="str">
            <v>1.</v>
          </cell>
          <cell r="C97" t="str">
            <v>EXCAVATION  AND  PREPARATION  WORKS</v>
          </cell>
        </row>
      </sheetData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계획"/>
      <sheetName val="통신계획"/>
      <sheetName val="관리동계획"/>
      <sheetName val="전시관계획"/>
      <sheetName val="Sheet3 (2)"/>
      <sheetName val="Sheet1"/>
      <sheetName val="Sheet3"/>
      <sheetName val="C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 (ST&amp;AR)"/>
      <sheetName val="SS"/>
      <sheetName val="GS (A)"/>
      <sheetName val="A(A)"/>
      <sheetName val="B(A)"/>
      <sheetName val="C(A)"/>
      <sheetName val="D(A)"/>
      <sheetName val="E(A)"/>
      <sheetName val="GS (B) "/>
      <sheetName val="A(B)"/>
      <sheetName val="B(B)"/>
      <sheetName val="C(B) "/>
      <sheetName val="D(B)"/>
      <sheetName val="E(B) "/>
      <sheetName val="GS (C) "/>
      <sheetName val="A(C)"/>
      <sheetName val="B(C) "/>
      <sheetName val="C(C) "/>
      <sheetName val="D(C) "/>
      <sheetName val="E(C) "/>
      <sheetName val="GS (D)"/>
      <sheetName val="A(D)"/>
      <sheetName val="B(D)"/>
      <sheetName val="C(D)"/>
      <sheetName val="D(D)"/>
      <sheetName val="GS (E)"/>
      <sheetName val="A(E)"/>
      <sheetName val="B(E)"/>
      <sheetName val="C(E)"/>
      <sheetName val="D(E)"/>
    </sheetNames>
    <sheetDataSet>
      <sheetData sheetId="0">
        <row r="10">
          <cell r="K10">
            <v>1</v>
          </cell>
          <cell r="L10">
            <v>1</v>
          </cell>
          <cell r="M10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서표지"/>
      <sheetName val="설계서"/>
      <sheetName val="원가계산서"/>
      <sheetName val="순공사비"/>
      <sheetName val="일위대가목록"/>
      <sheetName val="식재일위대가"/>
      <sheetName val="식재수량산출"/>
      <sheetName val="단가비교표"/>
      <sheetName val="인쇄용노임"/>
      <sheetName val="2000하반기노임기준"/>
      <sheetName val="FAB별"/>
      <sheetName val="목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"/>
      <sheetName val="ราคา 01-45"/>
      <sheetName val="Cost 09-45"/>
      <sheetName val="Vera_Cost 09-45"/>
      <sheetName val="Vera_Cost 11-45"/>
      <sheetName val="Cost 12-45"/>
      <sheetName val="Vera_Cost 31-01-46"/>
      <sheetName val="Vera_Cost NEW"/>
      <sheetName val="ปาเก้"/>
      <sheetName val="Elec_Square D"/>
      <sheetName val="Sanitary Ware"/>
      <sheetName val="JOB_NAMES"/>
      <sheetName val="PILE"/>
      <sheetName val="SC_MAT_CODE"/>
      <sheetName val="SC_C-B-ST"/>
      <sheetName val="D&amp;W_Cost_AL"/>
      <sheetName val="D&amp;W_Cost_WOOD"/>
      <sheetName val="D&amp;W"/>
      <sheetName val="Area"/>
      <sheetName val="Check"/>
      <sheetName val="-วราทิพย์_A5-"/>
      <sheetName val="-A1"/>
      <sheetName val="-A2"/>
      <sheetName val="-A3"/>
      <sheetName val="-A4"/>
      <sheetName val="-BA"/>
      <sheetName val="-B1_S-"/>
      <sheetName val="-B2_S-"/>
      <sheetName val="-B2W_S-"/>
      <sheetName val="-B3_S-"/>
      <sheetName val="-B4_S-"/>
      <sheetName val="-B5_S-"/>
      <sheetName val="-B6_S-"/>
      <sheetName val="-C1_S-"/>
      <sheetName val="-C1_SD-"/>
      <sheetName val="-C2_P-"/>
      <sheetName val="-C2_S-"/>
      <sheetName val="-C3_P-"/>
      <sheetName val="-C3_S-"/>
      <sheetName val="-C4_SD-"/>
      <sheetName val="-C4_S-"/>
      <sheetName val="-C5_SD"/>
      <sheetName val="-C6_SD-"/>
      <sheetName val="-C6_S-"/>
      <sheetName val="-D1_SD"/>
      <sheetName val="D1"/>
      <sheetName val="D2"/>
      <sheetName val="E3"/>
      <sheetName val="E3FL&lt;M8&gt;"/>
      <sheetName val="G1"/>
      <sheetName val="G2"/>
      <sheetName val="G4"/>
      <sheetName val="-G5-"/>
      <sheetName val="G6"/>
      <sheetName val="G7"/>
      <sheetName val="G7FL&lt;M7&gt;"/>
      <sheetName val="G8"/>
      <sheetName val="G9"/>
      <sheetName val="H7"/>
      <sheetName val="H9"/>
      <sheetName val="H15"/>
      <sheetName val="-L5-"/>
      <sheetName val="M1"/>
      <sheetName val="-M2"/>
      <sheetName val="M3"/>
      <sheetName val="-M6"/>
      <sheetName val="MTP I"/>
      <sheetName val="MTP II"/>
      <sheetName val="MTP III"/>
      <sheetName val="N1"/>
      <sheetName val="N2"/>
      <sheetName val="N3"/>
      <sheetName val="N4"/>
      <sheetName val="-P1"/>
      <sheetName val="-P2_D-"/>
      <sheetName val="-P3_D"/>
      <sheetName val="S3"/>
      <sheetName val="T1"/>
      <sheetName val="T2"/>
      <sheetName val="TP2_H15&lt;FL&gt;"/>
      <sheetName val="-V1"/>
      <sheetName val="-V2"/>
      <sheetName val="Y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7">
          <cell r="F27">
            <v>3585</v>
          </cell>
        </row>
        <row r="28">
          <cell r="F28">
            <v>3270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NO"/>
      <sheetName val="Sampleใหม่"/>
    </sheetNames>
    <sheetDataSet>
      <sheetData sheetId="0">
        <row r="1">
          <cell r="A1" t="str">
            <v>W (inch)</v>
          </cell>
          <cell r="C1" t="str">
            <v>SHEET NO.</v>
          </cell>
        </row>
        <row r="2">
          <cell r="A2">
            <v>1</v>
          </cell>
          <cell r="B2">
            <v>12</v>
          </cell>
          <cell r="C2" t="str">
            <v>No.26</v>
          </cell>
        </row>
        <row r="3">
          <cell r="A3">
            <v>13</v>
          </cell>
          <cell r="B3">
            <v>30</v>
          </cell>
          <cell r="C3" t="str">
            <v>No.24</v>
          </cell>
        </row>
        <row r="4">
          <cell r="A4">
            <v>31</v>
          </cell>
          <cell r="B4">
            <v>54</v>
          </cell>
          <cell r="C4" t="str">
            <v>No.22</v>
          </cell>
        </row>
        <row r="5">
          <cell r="A5">
            <v>55</v>
          </cell>
          <cell r="B5">
            <v>84</v>
          </cell>
          <cell r="C5" t="str">
            <v>No.20</v>
          </cell>
        </row>
        <row r="6">
          <cell r="A6">
            <v>85</v>
          </cell>
          <cell r="B6">
            <v>200</v>
          </cell>
          <cell r="C6" t="str">
            <v>No.18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-FOOTING (G)"/>
      <sheetName val="EST_FOOTING _G_"/>
      <sheetName val="Bill No. 2 - Carpark"/>
      <sheetName val="Invoice"/>
      <sheetName val="Take-off stru"/>
      <sheetName val="BK Unit Rate"/>
      <sheetName val="Sum"/>
      <sheetName val="HOUSE-G"/>
      <sheetName val="QUANTITY COMPARISON"/>
      <sheetName val="sheetNO"/>
      <sheetName val="EST-FOOTING_(G)"/>
      <sheetName val="EST_FOOTING__G_"/>
      <sheetName val="Bill_No__2_-_Carpark"/>
      <sheetName val="Take-off_stru"/>
      <sheetName val="BK_Unit_Rate"/>
      <sheetName val="LITF"/>
      <sheetName val="H1.0"/>
      <sheetName val="SH-B"/>
      <sheetName val="SH-D"/>
      <sheetName val="SH-E"/>
      <sheetName val="SH-G"/>
      <sheetName val="SH-C"/>
      <sheetName val="SAN REDUCED 1"/>
      <sheetName val="โครงสร้าง"/>
      <sheetName val="sum 1-4"/>
      <sheetName val="rate"/>
      <sheetName val="Sch 2 bu"/>
      <sheetName val="Material"/>
      <sheetName val="Cover  Blank Form  B.O.Q  "/>
      <sheetName val="Sheet1"/>
      <sheetName val="รวมราคาทั้งสิ้น"/>
      <sheetName val="สรุปการประมาณราคา"/>
      <sheetName val="ปริมาณ-ราคา งาน"/>
      <sheetName val="EST-TOTAL (G)"/>
      <sheetName val="ÊÃØ»¡ÒÃ»ÃÐÁÒ³ÃÒ¤Ò"/>
      <sheetName val="»ÃÔÁÒ³-ÃÒ¤Ò §Ò¹"/>
      <sheetName val="BOQ1 (2)"/>
      <sheetName val="Summary"/>
      <sheetName val="I-slab"/>
      <sheetName val="Cal Fto"/>
      <sheetName val="bq"/>
      <sheetName val="Syntec Summary_B_C_F"/>
      <sheetName val="2.0"/>
      <sheetName val="3.0"/>
      <sheetName val="4.0"/>
      <sheetName val="5.0"/>
      <sheetName val="6.0"/>
      <sheetName val="7.0"/>
      <sheetName val="8.0"/>
      <sheetName val="Beam (b1)"/>
      <sheetName val="Criteria"/>
      <sheetName val="Interial"/>
      <sheetName val="TOSHIBA-Structure"/>
      <sheetName val="Cavity Inputs"/>
      <sheetName val="EST-FOOTING_(G)1"/>
      <sheetName val="EST_FOOTING__G_1"/>
      <sheetName val="Bill_No__2_-_Carpark1"/>
      <sheetName val="Take-off_stru1"/>
      <sheetName val="H1_0"/>
      <sheetName val="BK_Unit_Rate1"/>
      <sheetName val="SAN_REDUCED_1"/>
      <sheetName val="sum_1-4"/>
      <sheetName val="QUANTITY_COMPARISON"/>
      <sheetName val="Sch_2_bu"/>
      <sheetName val="Cover__Blank_Form__B_O_Q__"/>
      <sheetName val="ปริมาณ-ราคา_งาน"/>
      <sheetName val="EST-TOTAL_(G)"/>
      <sheetName val="»ÃÔÁÒ³-ÃÒ¤Ò_§Ò¹"/>
      <sheetName val="BOQ1_(2)"/>
      <sheetName val="Rpt Qld"/>
      <sheetName val="BQ (1)"/>
      <sheetName val="Manpower"/>
      <sheetName val="SUMMARY MEP"/>
      <sheetName val="Prelim"/>
      <sheetName val="RawMatCost"/>
      <sheetName val="Assessment"/>
      <sheetName val="FlatBottomClarifier (Not used)"/>
      <sheetName val="สรุป"/>
      <sheetName val="PL"/>
      <sheetName val="For Bid VS For Con"/>
      <sheetName val="20190517"/>
      <sheetName val="Xtra_Signage"/>
      <sheetName val="Status Update"/>
      <sheetName val="Status VO update"/>
      <sheetName val="Status VO"/>
      <sheetName val="Signage ABF L1-L7"/>
      <sheetName val="Signage C,D,E "/>
      <sheetName val="Status (เดิม)"/>
      <sheetName val="For Bid VS For Con (2)"/>
      <sheetName val="Ratios"/>
      <sheetName val="หลักเกณฑ์"/>
      <sheetName val="ประมาณการประตูหน้าต่าง "/>
      <sheetName val="S3 Architectural"/>
      <sheetName val="Exchange Rate"/>
      <sheetName val="FS"/>
      <sheetName val="A"/>
      <sheetName val="Sheet3"/>
      <sheetName val="RATES"/>
      <sheetName val="gl"/>
      <sheetName val="Capital Expenditure"/>
      <sheetName val="Cert"/>
      <sheetName val="BQ-Ext  "/>
      <sheetName val="summary_level-2"/>
      <sheetName val="QS-Payment"/>
      <sheetName val="2002Shipment"/>
      <sheetName val="Cctmst"/>
    </sheetNames>
    <sheetDataSet>
      <sheetData sheetId="0" refreshError="1">
        <row r="1">
          <cell r="A1" t="str">
            <v>Program Estimate Footing</v>
          </cell>
        </row>
        <row r="2">
          <cell r="A2" t="str">
            <v>Project</v>
          </cell>
        </row>
        <row r="4">
          <cell r="R4" t="str">
            <v xml:space="preserve">   ด้านสั้น</v>
          </cell>
          <cell r="AP4" t="str">
            <v xml:space="preserve">   ด้านยาว</v>
          </cell>
        </row>
        <row r="5">
          <cell r="G5" t="str">
            <v>เหล็กบน</v>
          </cell>
          <cell r="S5" t="str">
            <v>เหล็กล่างด้านสั้น</v>
          </cell>
          <cell r="AE5" t="str">
            <v>เหล็กบน</v>
          </cell>
          <cell r="AQ5" t="str">
            <v>เหล็กล่างด้านยาว</v>
          </cell>
          <cell r="BJ5" t="str">
            <v>บดอัด</v>
          </cell>
          <cell r="BK5" t="str">
            <v>ทราย</v>
          </cell>
          <cell r="BO5" t="str">
            <v>REINFORCEMENT BAR</v>
          </cell>
        </row>
        <row r="6">
          <cell r="A6" t="str">
            <v>NAME</v>
          </cell>
          <cell r="B6" t="str">
            <v>กว้าง</v>
          </cell>
          <cell r="C6" t="str">
            <v>ยาว</v>
          </cell>
          <cell r="D6" t="str">
            <v>หนา</v>
          </cell>
          <cell r="E6" t="str">
            <v>ลึก</v>
          </cell>
          <cell r="F6" t="str">
            <v>จำนวน</v>
          </cell>
          <cell r="G6" t="str">
            <v>จำนวน(เส้น)</v>
          </cell>
          <cell r="M6" t="str">
            <v>ระยะ( @ )</v>
          </cell>
          <cell r="S6" t="str">
            <v>จำนวน(เส้น)</v>
          </cell>
          <cell r="Y6" t="str">
            <v>ระยะ( @ ) (ม.)</v>
          </cell>
          <cell r="AE6" t="str">
            <v>จำนวน(เส้น)</v>
          </cell>
          <cell r="AK6" t="str">
            <v>ระยะ( @ )</v>
          </cell>
          <cell r="AQ6" t="str">
            <v>จำนวน(เส้น)</v>
          </cell>
          <cell r="AW6" t="str">
            <v>ระยะ( @ ) (ม.)</v>
          </cell>
          <cell r="BE6" t="str">
            <v>รัดรอบ</v>
          </cell>
          <cell r="BH6" t="str">
            <v>ขุดดิน</v>
          </cell>
          <cell r="BI6" t="str">
            <v>ถมดินกลับ</v>
          </cell>
          <cell r="BJ6" t="str">
            <v>ดินเดิม</v>
          </cell>
          <cell r="BK6" t="str">
            <v>รองพื้น</v>
          </cell>
          <cell r="BL6" t="str">
            <v>Lean</v>
          </cell>
          <cell r="BM6" t="str">
            <v>FW</v>
          </cell>
          <cell r="BN6" t="str">
            <v>CONC</v>
          </cell>
          <cell r="BO6" t="str">
            <v>Dia.6 mm.</v>
          </cell>
          <cell r="BP6" t="str">
            <v>Dia.9 mm.</v>
          </cell>
          <cell r="BQ6" t="str">
            <v>Dia.12 mm.</v>
          </cell>
          <cell r="BR6" t="str">
            <v>Dia.16 mm.</v>
          </cell>
          <cell r="BS6" t="str">
            <v>Dia.20 mm.</v>
          </cell>
          <cell r="BT6" t="str">
            <v>Dia.25 mm.</v>
          </cell>
          <cell r="BU6" t="str">
            <v>REMARK</v>
          </cell>
        </row>
        <row r="7">
          <cell r="B7" t="str">
            <v>(m.)</v>
          </cell>
          <cell r="C7" t="str">
            <v>(m.)</v>
          </cell>
          <cell r="D7" t="str">
            <v>(m.)</v>
          </cell>
          <cell r="E7" t="str">
            <v>(m.)</v>
          </cell>
          <cell r="F7" t="str">
            <v>(Set)</v>
          </cell>
          <cell r="G7">
            <v>9</v>
          </cell>
          <cell r="H7">
            <v>12</v>
          </cell>
          <cell r="I7">
            <v>16</v>
          </cell>
          <cell r="J7">
            <v>20</v>
          </cell>
          <cell r="K7">
            <v>25</v>
          </cell>
          <cell r="L7">
            <v>28</v>
          </cell>
          <cell r="M7">
            <v>9</v>
          </cell>
          <cell r="N7">
            <v>12</v>
          </cell>
          <cell r="O7">
            <v>16</v>
          </cell>
          <cell r="P7">
            <v>20</v>
          </cell>
          <cell r="Q7">
            <v>25</v>
          </cell>
          <cell r="R7">
            <v>28</v>
          </cell>
          <cell r="S7">
            <v>9</v>
          </cell>
          <cell r="T7">
            <v>12</v>
          </cell>
          <cell r="U7">
            <v>16</v>
          </cell>
          <cell r="V7">
            <v>20</v>
          </cell>
          <cell r="W7">
            <v>25</v>
          </cell>
          <cell r="X7">
            <v>28</v>
          </cell>
          <cell r="Y7">
            <v>9</v>
          </cell>
          <cell r="Z7">
            <v>12</v>
          </cell>
          <cell r="AA7">
            <v>16</v>
          </cell>
          <cell r="AB7">
            <v>20</v>
          </cell>
          <cell r="AC7">
            <v>25</v>
          </cell>
          <cell r="AD7">
            <v>28</v>
          </cell>
          <cell r="AE7">
            <v>9</v>
          </cell>
          <cell r="AF7">
            <v>12</v>
          </cell>
          <cell r="AG7">
            <v>16</v>
          </cell>
          <cell r="AH7">
            <v>20</v>
          </cell>
          <cell r="AI7">
            <v>25</v>
          </cell>
          <cell r="AJ7">
            <v>28</v>
          </cell>
          <cell r="AK7">
            <v>9</v>
          </cell>
          <cell r="AL7">
            <v>12</v>
          </cell>
          <cell r="AM7">
            <v>16</v>
          </cell>
          <cell r="AN7">
            <v>20</v>
          </cell>
          <cell r="AO7">
            <v>25</v>
          </cell>
          <cell r="AP7">
            <v>28</v>
          </cell>
          <cell r="AQ7">
            <v>9</v>
          </cell>
          <cell r="AR7">
            <v>12</v>
          </cell>
          <cell r="AS7">
            <v>16</v>
          </cell>
          <cell r="AT7">
            <v>20</v>
          </cell>
          <cell r="AU7">
            <v>25</v>
          </cell>
          <cell r="AV7">
            <v>28</v>
          </cell>
          <cell r="AW7">
            <v>9</v>
          </cell>
          <cell r="AX7">
            <v>12</v>
          </cell>
          <cell r="AY7">
            <v>16</v>
          </cell>
          <cell r="AZ7">
            <v>20</v>
          </cell>
          <cell r="BA7">
            <v>25</v>
          </cell>
          <cell r="BB7">
            <v>28</v>
          </cell>
          <cell r="BC7">
            <v>6</v>
          </cell>
          <cell r="BD7">
            <v>9</v>
          </cell>
          <cell r="BE7">
            <v>12</v>
          </cell>
          <cell r="BF7">
            <v>16</v>
          </cell>
          <cell r="BG7">
            <v>20</v>
          </cell>
          <cell r="BH7" t="str">
            <v>(Cu.m.)</v>
          </cell>
          <cell r="BI7" t="str">
            <v>(Cu.m.)</v>
          </cell>
          <cell r="BJ7" t="str">
            <v>(Sq.m.)</v>
          </cell>
          <cell r="BK7" t="str">
            <v>(Sq.m.)</v>
          </cell>
          <cell r="BL7" t="str">
            <v>(Sq.m.)</v>
          </cell>
          <cell r="BM7" t="str">
            <v>(Sq.m.)</v>
          </cell>
          <cell r="BN7" t="str">
            <v>(Cu.m.)</v>
          </cell>
          <cell r="BO7" t="str">
            <v>(kg.)</v>
          </cell>
          <cell r="BP7" t="str">
            <v>(kg.)</v>
          </cell>
          <cell r="BQ7" t="str">
            <v>(kg.)</v>
          </cell>
          <cell r="BR7" t="str">
            <v>(kg.)</v>
          </cell>
          <cell r="BS7" t="str">
            <v>(kg.)</v>
          </cell>
          <cell r="BT7" t="str">
            <v>(kg.)</v>
          </cell>
        </row>
        <row r="8">
          <cell r="A8" t="str">
            <v>F1</v>
          </cell>
          <cell r="B8">
            <v>0.4</v>
          </cell>
          <cell r="C8">
            <v>0.4</v>
          </cell>
          <cell r="D8">
            <v>0.4</v>
          </cell>
          <cell r="E8">
            <v>0.8</v>
          </cell>
          <cell r="F8">
            <v>10</v>
          </cell>
        </row>
        <row r="9">
          <cell r="A9" t="str">
            <v>F2</v>
          </cell>
          <cell r="B9">
            <v>0.4</v>
          </cell>
          <cell r="C9">
            <v>1</v>
          </cell>
          <cell r="D9">
            <v>0.4</v>
          </cell>
          <cell r="E9">
            <v>0.8</v>
          </cell>
          <cell r="F9">
            <v>2</v>
          </cell>
        </row>
        <row r="26">
          <cell r="A26" t="str">
            <v>TOTAL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1">
          <cell r="A1" t="str">
            <v>Program Estimate Footing</v>
          </cell>
        </row>
      </sheetData>
      <sheetData sheetId="55">
        <row r="1">
          <cell r="A1" t="str">
            <v>Program Estimate Footing</v>
          </cell>
        </row>
      </sheetData>
      <sheetData sheetId="56">
        <row r="1">
          <cell r="A1" t="str">
            <v>Program Estimate Footing</v>
          </cell>
        </row>
      </sheetData>
      <sheetData sheetId="57">
        <row r="1">
          <cell r="A1" t="str">
            <v>Program Estimate Footing</v>
          </cell>
        </row>
      </sheetData>
      <sheetData sheetId="58">
        <row r="1">
          <cell r="A1" t="str">
            <v>Program Estimate Footing</v>
          </cell>
        </row>
      </sheetData>
      <sheetData sheetId="59">
        <row r="1">
          <cell r="A1" t="str">
            <v>Program Estimate Footing</v>
          </cell>
        </row>
      </sheetData>
      <sheetData sheetId="60">
        <row r="1">
          <cell r="A1" t="str">
            <v>Program Estimate Footing</v>
          </cell>
        </row>
      </sheetData>
      <sheetData sheetId="61">
        <row r="1">
          <cell r="A1" t="str">
            <v>Program Estimate Footing</v>
          </cell>
        </row>
      </sheetData>
      <sheetData sheetId="62"/>
      <sheetData sheetId="63"/>
      <sheetData sheetId="64">
        <row r="1">
          <cell r="A1" t="str">
            <v>Program Estimate Footing</v>
          </cell>
        </row>
      </sheetData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1">
          <cell r="A1">
            <v>0</v>
          </cell>
        </row>
      </sheetData>
      <sheetData sheetId="80">
        <row r="1">
          <cell r="A1">
            <v>0</v>
          </cell>
        </row>
      </sheetData>
      <sheetData sheetId="81">
        <row r="1">
          <cell r="A1" t="str">
            <v>Program Estimate Footing</v>
          </cell>
        </row>
      </sheetData>
      <sheetData sheetId="82"/>
      <sheetData sheetId="83" refreshError="1"/>
      <sheetData sheetId="84"/>
      <sheetData sheetId="85">
        <row r="1">
          <cell r="A1">
            <v>0</v>
          </cell>
        </row>
      </sheetData>
      <sheetData sheetId="86">
        <row r="1">
          <cell r="A1">
            <v>0</v>
          </cell>
        </row>
      </sheetData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MAIN"/>
      <sheetName val="SG"/>
      <sheetName val="J100"/>
      <sheetName val="실행철강하도"/>
      <sheetName val="sheetNO"/>
      <sheetName val="ELE"/>
      <sheetName val="DETAIL "/>
      <sheetName val="SOURCE"/>
      <sheetName val="EST-FOOTING (G)"/>
      <sheetName val="ZPS02"/>
      <sheetName val="Sheet1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FR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โครงสร้าง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Lift"/>
      <sheetName val="Stair"/>
      <sheetName val="Code Stair"/>
      <sheetName val="STEEL Roof"/>
      <sheetName val="โครงหลังคา"/>
      <sheetName val="Steel"/>
      <sheetName val="สรุปงานโครงสร้าง"/>
      <sheetName val="บทสรุปผู้บริหาร"/>
      <sheetName val=" "/>
      <sheetName val="Store"/>
      <sheetName val="토공집계표"/>
      <sheetName val="Worksheet"/>
      <sheetName val="ประมาณการประตูหน้าต่าง "/>
      <sheetName val="cov-estimate"/>
      <sheetName val="รวมราคาทั้งสิ้น"/>
      <sheetName val="DETAIL_"/>
      <sheetName val="EST-FOOTING_(G)"/>
      <sheetName val="rate"/>
      <sheetName val="BAL"/>
      <sheetName val="HVAC"/>
      <sheetName val="I-slab"/>
      <sheetName val="(R05)-PLE-602"/>
      <sheetName val="Mat"/>
      <sheetName val="สรุปราคา (L)"/>
      <sheetName val="AC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ADO_2552"/>
      <sheetName val="STD"/>
      <sheetName val="bq"/>
      <sheetName val="Unit rate Architecture"/>
      <sheetName val="_"/>
      <sheetName val="ประมาณการประตูหน้าต่าง_"/>
      <sheetName val="Construction cost assumption"/>
      <sheetName val="JLL Assumption"/>
      <sheetName val="Retail Program&amp;Rev Assumption"/>
      <sheetName val="Cavity Inputs"/>
      <sheetName val="Sum(Civil Work)"/>
      <sheetName val="สรุป_EMC"/>
      <sheetName val="data3"/>
      <sheetName val="Main Sum (Hotel &amp; Residences)"/>
      <sheetName val="Total BOQ"/>
      <sheetName val="4G SUM-SK (Lift&amp;Interior)"/>
      <sheetName val="S-Curve (Lift&amp;Interior)"/>
      <sheetName val="6L4 DETAIL SK"/>
      <sheetName val="S-Curve (R2)"/>
      <sheetName val="CUSTOMER"/>
      <sheetName val="7-consume"/>
      <sheetName val="6-Equipment"/>
      <sheetName val="4-Local transport"/>
      <sheetName val="Backup"/>
      <sheetName val="Sum"/>
      <sheetName val="03100(SS)"/>
      <sheetName val="SAN REDUCED 1"/>
      <sheetName val="Bill No. 2 - Carpark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ELEC"/>
      <sheetName val="SUM-AIR-Submit"/>
      <sheetName val="STRUCTURE"/>
      <sheetName val="BOX Cryostat Details"/>
      <sheetName val="Driver Linac Layout"/>
      <sheetName val="Inputs"/>
      <sheetName val="Magnet Details"/>
      <sheetName val="Replacement Cost "/>
      <sheetName val="อาคารหลัก A"/>
      <sheetName val="Ratchada"/>
      <sheetName val="DETAIL_1"/>
      <sheetName val="EST-FOOTING_(G)1"/>
      <sheetName val="Ratio_Qty1"/>
      <sheetName val="Foundation_1"/>
      <sheetName val="Column_1"/>
      <sheetName val="Beam__1"/>
      <sheetName val="RC_Slab_1"/>
      <sheetName val="Lift_Core__1"/>
      <sheetName val="Post-Tens__Slab__1"/>
      <sheetName val="RC_Stair__1"/>
      <sheetName val="RC_wall_1"/>
      <sheetName val="Typ_F1"/>
      <sheetName val="Grand_sum1"/>
      <sheetName val="Sum_Floor1"/>
      <sheetName val="Sum_Fl_1"/>
      <sheetName val="Code_Footing1"/>
      <sheetName val="Code_Column1"/>
      <sheetName val="G_BEAM1"/>
      <sheetName val="Code_Beam1"/>
      <sheetName val="G_Slab1"/>
      <sheetName val="Code_Slab1"/>
      <sheetName val="Code_Post1"/>
      <sheetName val="Code_Stair1"/>
      <sheetName val="STEEL_Roof1"/>
      <sheetName val="_1"/>
      <sheetName val="ประมาณการประตูหน้าต่าง_1"/>
      <sheetName val="สรุปราคา_(L)"/>
      <sheetName val="Unit_rate_Architecture"/>
      <sheetName val="Construction_cost_assumption"/>
      <sheetName val="JLL_Assumption"/>
      <sheetName val="Retail_Program&amp;Rev_Assumption"/>
      <sheetName val="Cavity_Inputs"/>
      <sheetName val="Sum(Civil_Work)"/>
      <sheetName val="Main_Sum_(Hotel_&amp;_Residences)"/>
      <sheetName val="Total_BOQ"/>
      <sheetName val="4G_SUM-SK_(Lift&amp;Interior)"/>
      <sheetName val="S-Curve_(Lift&amp;Interior)"/>
      <sheetName val="6L4_DETAIL_SK"/>
      <sheetName val="S-Curve_(R2)"/>
      <sheetName val="4-Local_transport"/>
      <sheetName val="SAN_REDUCED_1"/>
      <sheetName val="Bill_No__2_-_Carpark"/>
      <sheetName val="SUM_"/>
      <sheetName val="(2)PMI_012"/>
      <sheetName val="(3)PMI_014"/>
      <sheetName val="(4)PMI_015"/>
      <sheetName val="(5)PMI_021"/>
      <sheetName val="(6)PMI_022"/>
      <sheetName val="(7)PMI_024"/>
      <sheetName val="(8)PMI_028"/>
      <sheetName val="(9)PMI__"/>
      <sheetName val="(10)PMI_"/>
      <sheetName val="(_11)TV"/>
      <sheetName val="BOX_Cryostat_Details"/>
      <sheetName val="Driver_Linac_Layout"/>
      <sheetName val="Magnet_Details"/>
      <sheetName val="Factor F Data"/>
      <sheetName val="เงินกู้ MGC"/>
      <sheetName val="เงินกู้ธนชาติ"/>
      <sheetName val="PL"/>
      <sheetName val="ELE.xls"/>
      <sheetName val="detail"/>
      <sheetName val="Code"/>
      <sheetName val="วัดใต้"/>
      <sheetName val="B-หมวดงานรื้-ถอน"/>
      <sheetName val=" HW บานเลื่อน"/>
      <sheetName val="S4.1_MEP Guestroom"/>
      <sheetName val="概総括1"/>
      <sheetName val="file"/>
      <sheetName val="AC.C"/>
      <sheetName val="S_x0000_&quot;ì_x0005_Ù_x0000__x0000__x0000_"/>
      <sheetName val="H1.0"/>
      <sheetName val="Database"/>
      <sheetName val="Output"/>
      <sheetName val="Sum SN"/>
      <sheetName val="Main Riser"/>
      <sheetName val="Replacement_Cost_"/>
      <sheetName val="อาคารหลัก_A"/>
      <sheetName val="AC_C"/>
      <sheetName val="aman seri"/>
      <sheetName val="S?&quot;ì_x0005_Ù???"/>
      <sheetName val="S"/>
      <sheetName val="S_&quot;ì_x0005_Ù___"/>
      <sheetName val="Cash Flow-1"/>
      <sheetName val="Factor_F_Data"/>
      <sheetName val="ELE_xls"/>
      <sheetName val="เงินกู้_MGC"/>
      <sheetName val="_HW_บานเลื่อน"/>
      <sheetName val="Cost Data"/>
      <sheetName val="Material"/>
      <sheetName val="properties"/>
      <sheetName val="ฐานข้อมูลป้าย"/>
      <sheetName val="JM50-99"/>
      <sheetName val="RC.footing"/>
      <sheetName val="splinkler"/>
      <sheetName val="Syntec Summary_B_C_F"/>
      <sheetName val="Cost_Categories"/>
      <sheetName val="Summary cal"/>
      <sheetName val="งานโครงสร้าง"/>
      <sheetName val="QUANTITY COMPARISON"/>
      <sheetName val="List"/>
      <sheetName val="boq"/>
      <sheetName val="Hauling"/>
      <sheetName val="BM"/>
      <sheetName val="Cost"/>
      <sheetName val="Cost Break"/>
      <sheetName val="LITF"/>
      <sheetName val="Purchase Order"/>
      <sheetName val="Customize Your Purchase Order"/>
      <sheetName val="EXT-01"/>
      <sheetName val="FD"/>
      <sheetName val="GI"/>
      <sheetName val="EE (3)"/>
      <sheetName val="PAVEMENT"/>
      <sheetName val="TRAFFIC"/>
      <sheetName val="A1.2"/>
      <sheetName val="040"/>
      <sheetName val="060"/>
      <sheetName val="Selection"/>
      <sheetName val="SUMMARY"/>
      <sheetName val="ภูมิทัศน์"/>
      <sheetName val="สรุป"/>
      <sheetName val="Menu"/>
      <sheetName val="วัฒนพัฒน์"/>
      <sheetName val="MET19"/>
      <sheetName val="Operating"/>
      <sheetName val="BK Unit Rate"/>
      <sheetName val="SITE OFFICE"/>
      <sheetName val="Prod-1"/>
      <sheetName val="DETAIL_2"/>
      <sheetName val="EST-FOOTING_(G)2"/>
      <sheetName val="ME_DB"/>
      <sheetName val="1_Interior L1_L3"/>
      <sheetName val="area converter"/>
      <sheetName val="inWords"/>
      <sheetName val="Civil Boq"/>
      <sheetName val="PRICE LIST"/>
      <sheetName val="ทำนบดิน 4"/>
      <sheetName val="Income Statement"/>
      <sheetName val="data"/>
      <sheetName val="Memo"/>
      <sheetName val="Adj. AR oversea"/>
      <sheetName val="Total Revenue"/>
      <sheetName val="Formula"/>
      <sheetName val="A.O.R."/>
      <sheetName val="calc_menu_déroulant"/>
      <sheetName val="Ratio_Qty2"/>
      <sheetName val="Foundation_2"/>
      <sheetName val="Column_2"/>
      <sheetName val="Beam__2"/>
      <sheetName val="RC_Slab_2"/>
      <sheetName val="Lift_Core__2"/>
      <sheetName val="Post-Tens__Slab__2"/>
      <sheetName val="RC_Stair__2"/>
      <sheetName val="RC_wall_2"/>
      <sheetName val="Typ_F2"/>
      <sheetName val="Grand_sum2"/>
      <sheetName val="Sum_Floor2"/>
      <sheetName val="Sum_Fl_2"/>
      <sheetName val="Code_Footing2"/>
      <sheetName val="Code_Column2"/>
      <sheetName val="G_BEAM2"/>
      <sheetName val="Code_Beam2"/>
      <sheetName val="G_Slab2"/>
      <sheetName val="Code_Slab2"/>
      <sheetName val="Code_Post2"/>
      <sheetName val="Code_Stair2"/>
      <sheetName val="STEEL_Roof2"/>
      <sheetName val="_2"/>
      <sheetName val="ประมาณการประตูหน้าต่าง_2"/>
      <sheetName val="สรุปราคา_(L)1"/>
      <sheetName val="Total_BOQ1"/>
      <sheetName val="4G_SUM-SK_(Lift&amp;Interior)1"/>
      <sheetName val="S-Curve_(Lift&amp;Interior)1"/>
      <sheetName val="6L4_DETAIL_SK1"/>
      <sheetName val="S-Curve_(R2)1"/>
      <sheetName val="4-Local_transport1"/>
      <sheetName val="SAN_REDUCED_11"/>
      <sheetName val="Bill_No__2_-_Carpark1"/>
      <sheetName val="Main_Sum_(Hotel_&amp;_Residences)1"/>
      <sheetName val="SUM_1"/>
      <sheetName val="(2)PMI_0121"/>
      <sheetName val="(3)PMI_0141"/>
      <sheetName val="(4)PMI_0151"/>
      <sheetName val="(5)PMI_0211"/>
      <sheetName val="(6)PMI_0221"/>
      <sheetName val="(7)PMI_0241"/>
      <sheetName val="(8)PMI_0281"/>
      <sheetName val="(9)PMI__1"/>
      <sheetName val="(10)PMI_1"/>
      <sheetName val="(_11)TV1"/>
      <sheetName val="ELE_xls1"/>
      <sheetName val="BOX_Cryostat_Details1"/>
      <sheetName val="Driver_Linac_Layout1"/>
      <sheetName val="Magnet_Details1"/>
      <sheetName val="Factor_F_Data1"/>
      <sheetName val="อาคารหลัก_A1"/>
      <sheetName val="S4_1_MEP_Guestroom"/>
      <sheetName val="เงินกู้_MGC1"/>
      <sheetName val="_HW_บานเลื่อน1"/>
      <sheetName val="Construction_cost_assumption1"/>
      <sheetName val="JLL_Assumption1"/>
      <sheetName val="Retail_Program&amp;Rev_Assumption1"/>
      <sheetName val="Unit_rate_Architecture1"/>
      <sheetName val="Cavity_Inputs1"/>
      <sheetName val="Sum(Civil_Work)1"/>
      <sheetName val="Replacement_Cost_1"/>
      <sheetName val="Cost_Data"/>
      <sheetName val="งานสถาปัตยกรรม A"/>
      <sheetName val="AC_C1"/>
      <sheetName val="RC_footing"/>
      <sheetName val="S&quot;ìÙ"/>
      <sheetName val="Sum_SN"/>
      <sheetName val="Main_Riser"/>
      <sheetName val="H1_0"/>
      <sheetName val="aman_seri"/>
      <sheetName val="S?&quot;ìÙ???"/>
      <sheetName val="S3 Architectural"/>
      <sheetName val="ST-อาคาร C"/>
      <sheetName val="BQ-E20-02(Rp)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sum 1-4"/>
      <sheetName val="Assump - Operational"/>
      <sheetName val="ตารางวันหยุด"/>
      <sheetName val="S_x005f_x0000_&quot;ì_x005f_x0005_Ù_x005f_x0000__x0000"/>
      <sheetName val="S_&quot;ì_x005f_x0005_Ù___"/>
      <sheetName val="S_x0000_&quot;ì_x0005_Ù_x0000__x0000"/>
      <sheetName val="General"/>
      <sheetName val="LINK ราคาต่อหน่วย"/>
      <sheetName val="DB_A"/>
      <sheetName val="DB_Q"/>
      <sheetName val="Ratio_Qty3"/>
      <sheetName val="Foundation_3"/>
      <sheetName val="Column_3"/>
      <sheetName val="Beam__3"/>
      <sheetName val="RC_Slab_3"/>
      <sheetName val="Lift_Core__3"/>
      <sheetName val="Post-Tens__Slab__3"/>
      <sheetName val="RC_Stair__3"/>
      <sheetName val="RC_wall_3"/>
      <sheetName val="Typ_F3"/>
      <sheetName val="Grand_sum3"/>
      <sheetName val="Sum_Floor3"/>
      <sheetName val="Sum_Fl_3"/>
      <sheetName val="Code_Footing3"/>
      <sheetName val="Code_Column3"/>
      <sheetName val="G_BEAM3"/>
      <sheetName val="Code_Beam3"/>
      <sheetName val="G_Slab3"/>
      <sheetName val="Code_Slab3"/>
      <sheetName val="Code_Post3"/>
      <sheetName val="Code_Stair3"/>
      <sheetName val="STEEL_Roof3"/>
      <sheetName val="_3"/>
      <sheetName val="DETAIL_3"/>
      <sheetName val="EST-FOOTING_(G)3"/>
      <sheetName val="ประมาณการประตูหน้าต่าง_3"/>
      <sheetName val="สรุปราคา_(L)2"/>
      <sheetName val="Total_BOQ2"/>
      <sheetName val="4G_SUM-SK_(Lift&amp;Interior)2"/>
      <sheetName val="S-Curve_(Lift&amp;Interior)2"/>
      <sheetName val="6L4_DETAIL_SK2"/>
      <sheetName val="S-Curve_(R2)2"/>
      <sheetName val="4-Local_transport2"/>
      <sheetName val="SAN_REDUCED_12"/>
      <sheetName val="Bill_No__2_-_Carpark2"/>
      <sheetName val="Main_Sum_(Hotel_&amp;_Residences)2"/>
      <sheetName val="SUM_2"/>
      <sheetName val="(2)PMI_0122"/>
      <sheetName val="(3)PMI_0142"/>
      <sheetName val="(4)PMI_0152"/>
      <sheetName val="(5)PMI_0212"/>
      <sheetName val="(6)PMI_0222"/>
      <sheetName val="(7)PMI_0242"/>
      <sheetName val="(8)PMI_0282"/>
      <sheetName val="(9)PMI__2"/>
      <sheetName val="(10)PMI_2"/>
      <sheetName val="(_11)TV2"/>
      <sheetName val="ELE_xls2"/>
      <sheetName val="BOX_Cryostat_Details2"/>
      <sheetName val="Driver_Linac_Layout2"/>
      <sheetName val="Magnet_Details2"/>
      <sheetName val="Factor_F_Data2"/>
      <sheetName val="อาคารหลัก_A2"/>
      <sheetName val="S4_1_MEP_Guestroom1"/>
      <sheetName val="เงินกู้_MGC2"/>
      <sheetName val="_HW_บานเลื่อน2"/>
      <sheetName val="Construction_cost_assumption2"/>
      <sheetName val="JLL_Assumption2"/>
      <sheetName val="Retail_Program&amp;Rev_Assumption2"/>
      <sheetName val="Unit_rate_Architecture2"/>
      <sheetName val="Cavity_Inputs2"/>
      <sheetName val="Sum(Civil_Work)2"/>
      <sheetName val="Replacement_Cost_2"/>
      <sheetName val="Cost_Data1"/>
      <sheetName val="Ratio_Qty4"/>
      <sheetName val="Foundation_4"/>
      <sheetName val="Column_4"/>
      <sheetName val="Beam__4"/>
      <sheetName val="RC_Slab_4"/>
      <sheetName val="Lift_Core__4"/>
      <sheetName val="Post-Tens__Slab__4"/>
      <sheetName val="RC_Stair__4"/>
      <sheetName val="RC_wall_4"/>
      <sheetName val="Typ_F4"/>
      <sheetName val="Grand_sum4"/>
      <sheetName val="Sum_Floor4"/>
      <sheetName val="Sum_Fl_4"/>
      <sheetName val="Code_Footing4"/>
      <sheetName val="Code_Column4"/>
      <sheetName val="G_BEAM4"/>
      <sheetName val="Code_Beam4"/>
      <sheetName val="G_Slab4"/>
      <sheetName val="Code_Slab4"/>
      <sheetName val="Code_Post4"/>
      <sheetName val="Code_Stair4"/>
      <sheetName val="STEEL_Roof4"/>
      <sheetName val="_4"/>
      <sheetName val="DETAIL_4"/>
      <sheetName val="EST-FOOTING_(G)4"/>
      <sheetName val="ประมาณการประตูหน้าต่าง_4"/>
      <sheetName val="สรุปราคา_(L)3"/>
      <sheetName val="Total_BOQ3"/>
      <sheetName val="4G_SUM-SK_(Lift&amp;Interior)3"/>
      <sheetName val="S-Curve_(Lift&amp;Interior)3"/>
      <sheetName val="6L4_DETAIL_SK3"/>
      <sheetName val="S-Curve_(R2)3"/>
      <sheetName val="4-Local_transport3"/>
      <sheetName val="SAN_REDUCED_13"/>
      <sheetName val="Bill_No__2_-_Carpark3"/>
      <sheetName val="Main_Sum_(Hotel_&amp;_Residences)3"/>
      <sheetName val="SUM_3"/>
      <sheetName val="(2)PMI_0123"/>
      <sheetName val="(3)PMI_0143"/>
      <sheetName val="(4)PMI_0153"/>
      <sheetName val="(5)PMI_0213"/>
      <sheetName val="(6)PMI_0223"/>
      <sheetName val="(7)PMI_0243"/>
      <sheetName val="(8)PMI_0283"/>
      <sheetName val="(9)PMI__3"/>
      <sheetName val="(10)PMI_3"/>
      <sheetName val="(_11)TV3"/>
      <sheetName val="ELE_xls3"/>
      <sheetName val="BOX_Cryostat_Details3"/>
      <sheetName val="Driver_Linac_Layout3"/>
      <sheetName val="Magnet_Details3"/>
      <sheetName val="Factor_F_Data3"/>
      <sheetName val="อาคารหลัก_A3"/>
      <sheetName val="S4_1_MEP_Guestroom2"/>
      <sheetName val="เงินกู้_MGC3"/>
      <sheetName val="_HW_บานเลื่อน3"/>
      <sheetName val="Construction_cost_assumption3"/>
      <sheetName val="JLL_Assumption3"/>
      <sheetName val="Retail_Program&amp;Rev_Assumption3"/>
      <sheetName val="Unit_rate_Architecture3"/>
      <sheetName val="Cavity_Inputs3"/>
      <sheetName val="Sum(Civil_Work)3"/>
      <sheetName val="Replacement_Cost_3"/>
      <sheetName val="Cost_Data2"/>
      <sheetName val="AC_C2"/>
      <sheetName val="RefSheet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CABLE &amp; CABLE RACEWAY</v>
          </cell>
        </row>
        <row r="6">
          <cell r="C6">
            <v>1</v>
          </cell>
          <cell r="D6" t="str">
            <v xml:space="preserve">CABLE </v>
          </cell>
        </row>
        <row r="7">
          <cell r="C7">
            <v>101</v>
          </cell>
          <cell r="D7" t="str">
            <v>-  0.5 SQ.MM. THW.</v>
          </cell>
          <cell r="E7">
            <v>2</v>
          </cell>
          <cell r="F7">
            <v>0.5</v>
          </cell>
          <cell r="G7" t="str">
            <v>M.</v>
          </cell>
        </row>
        <row r="8">
          <cell r="C8">
            <v>102</v>
          </cell>
          <cell r="D8" t="str">
            <v>-  1 SQ.MM. THW.</v>
          </cell>
          <cell r="E8">
            <v>3</v>
          </cell>
          <cell r="F8">
            <v>0.5</v>
          </cell>
          <cell r="G8" t="str">
            <v>M.</v>
          </cell>
        </row>
        <row r="9">
          <cell r="C9">
            <v>103</v>
          </cell>
          <cell r="D9" t="str">
            <v>-  1.5 SQ.MM. THW.</v>
          </cell>
          <cell r="E9">
            <v>4</v>
          </cell>
          <cell r="F9">
            <v>2</v>
          </cell>
          <cell r="G9" t="str">
            <v>M.</v>
          </cell>
        </row>
        <row r="10">
          <cell r="C10">
            <v>104</v>
          </cell>
          <cell r="D10" t="str">
            <v>-  2.5 SQ.MM. THW.</v>
          </cell>
          <cell r="E10">
            <v>6</v>
          </cell>
          <cell r="F10">
            <v>2</v>
          </cell>
          <cell r="G10" t="str">
            <v>M.</v>
          </cell>
        </row>
        <row r="11">
          <cell r="C11">
            <v>105</v>
          </cell>
          <cell r="D11" t="str">
            <v>-  4 SQ.MM. THW.</v>
          </cell>
          <cell r="E11">
            <v>9</v>
          </cell>
          <cell r="F11">
            <v>3</v>
          </cell>
          <cell r="G11" t="str">
            <v>M.</v>
          </cell>
        </row>
        <row r="12">
          <cell r="C12">
            <v>106</v>
          </cell>
          <cell r="D12" t="str">
            <v>-  6 SQ.MM. THW.</v>
          </cell>
          <cell r="E12">
            <v>15</v>
          </cell>
          <cell r="F12">
            <v>3</v>
          </cell>
          <cell r="G12" t="str">
            <v>M.</v>
          </cell>
        </row>
        <row r="13">
          <cell r="C13">
            <v>107</v>
          </cell>
          <cell r="D13" t="str">
            <v>-  10 SQ.MM. THW.</v>
          </cell>
          <cell r="E13">
            <v>23</v>
          </cell>
          <cell r="F13">
            <v>4</v>
          </cell>
          <cell r="G13" t="str">
            <v>M.</v>
          </cell>
        </row>
        <row r="14">
          <cell r="C14">
            <v>108</v>
          </cell>
          <cell r="D14" t="str">
            <v>-  16 SQ.MM. THW.</v>
          </cell>
          <cell r="E14">
            <v>36</v>
          </cell>
          <cell r="F14">
            <v>6</v>
          </cell>
          <cell r="G14" t="str">
            <v>M.</v>
          </cell>
        </row>
        <row r="15">
          <cell r="C15">
            <v>109</v>
          </cell>
          <cell r="D15" t="str">
            <v>-  25 SQ.MM. THW.</v>
          </cell>
          <cell r="E15">
            <v>55</v>
          </cell>
          <cell r="F15">
            <v>7</v>
          </cell>
          <cell r="G15" t="str">
            <v>M.</v>
          </cell>
        </row>
        <row r="16">
          <cell r="C16">
            <v>110</v>
          </cell>
          <cell r="D16" t="str">
            <v>-  35 SQ.MM. THW.</v>
          </cell>
          <cell r="E16">
            <v>78</v>
          </cell>
          <cell r="F16">
            <v>9</v>
          </cell>
          <cell r="G16" t="str">
            <v>M.</v>
          </cell>
        </row>
        <row r="17">
          <cell r="C17">
            <v>111</v>
          </cell>
          <cell r="D17" t="str">
            <v>-  50 SQ.MM. THW.</v>
          </cell>
          <cell r="E17">
            <v>112</v>
          </cell>
          <cell r="F17">
            <v>13</v>
          </cell>
          <cell r="G17" t="str">
            <v>M.</v>
          </cell>
        </row>
        <row r="18">
          <cell r="C18">
            <v>112</v>
          </cell>
          <cell r="D18" t="str">
            <v>-  70 SQ.MM. THW.</v>
          </cell>
          <cell r="E18">
            <v>149</v>
          </cell>
          <cell r="F18">
            <v>17</v>
          </cell>
          <cell r="G18" t="str">
            <v>M.</v>
          </cell>
        </row>
        <row r="19">
          <cell r="C19">
            <v>113</v>
          </cell>
          <cell r="D19" t="str">
            <v>-  95 SQ.MM. THW.</v>
          </cell>
          <cell r="E19">
            <v>202</v>
          </cell>
          <cell r="F19">
            <v>24</v>
          </cell>
          <cell r="G19" t="str">
            <v>M.</v>
          </cell>
        </row>
        <row r="20">
          <cell r="C20">
            <v>114</v>
          </cell>
          <cell r="D20" t="str">
            <v>-  120 SQ.MM. THW.</v>
          </cell>
          <cell r="E20">
            <v>242</v>
          </cell>
          <cell r="F20">
            <v>28</v>
          </cell>
          <cell r="G20" t="str">
            <v>M.</v>
          </cell>
        </row>
        <row r="21">
          <cell r="C21">
            <v>115</v>
          </cell>
          <cell r="D21" t="str">
            <v>-  150 SQ.MM. THW.</v>
          </cell>
          <cell r="E21">
            <v>314</v>
          </cell>
          <cell r="F21">
            <v>33</v>
          </cell>
          <cell r="G21" t="str">
            <v>M.</v>
          </cell>
        </row>
        <row r="22">
          <cell r="C22">
            <v>116</v>
          </cell>
          <cell r="D22" t="str">
            <v>-  185 SQ.MM. THW.</v>
          </cell>
          <cell r="E22">
            <v>387</v>
          </cell>
          <cell r="F22">
            <v>38</v>
          </cell>
          <cell r="G22" t="str">
            <v>M.</v>
          </cell>
        </row>
        <row r="23">
          <cell r="C23">
            <v>117</v>
          </cell>
          <cell r="D23" t="str">
            <v>-  240 SQ.MM. THW.</v>
          </cell>
          <cell r="E23">
            <v>536</v>
          </cell>
          <cell r="F23">
            <v>42</v>
          </cell>
          <cell r="G23" t="str">
            <v>M.</v>
          </cell>
        </row>
        <row r="24">
          <cell r="C24">
            <v>118</v>
          </cell>
          <cell r="D24" t="str">
            <v>-  300 SQ.MM. THW.</v>
          </cell>
          <cell r="E24">
            <v>661</v>
          </cell>
          <cell r="F24">
            <v>54</v>
          </cell>
          <cell r="G24" t="str">
            <v>M.</v>
          </cell>
        </row>
        <row r="25">
          <cell r="C25">
            <v>119</v>
          </cell>
          <cell r="D25" t="str">
            <v>-  400 SQ.MM. THW.</v>
          </cell>
          <cell r="E25">
            <v>835</v>
          </cell>
          <cell r="F25">
            <v>60</v>
          </cell>
          <cell r="G25" t="str">
            <v>M.</v>
          </cell>
        </row>
        <row r="26">
          <cell r="C26">
            <v>120</v>
          </cell>
          <cell r="D26" t="str">
            <v>-  500 SQ.MM. THW.</v>
          </cell>
          <cell r="E26">
            <v>1081</v>
          </cell>
          <cell r="F26">
            <v>70</v>
          </cell>
          <cell r="G26" t="str">
            <v>M.</v>
          </cell>
        </row>
        <row r="27">
          <cell r="C27">
            <v>121</v>
          </cell>
          <cell r="D27" t="str">
            <v>-  2/C - 1 SQ.MM. VAF</v>
          </cell>
          <cell r="E27">
            <v>4</v>
          </cell>
          <cell r="F27">
            <v>5</v>
          </cell>
          <cell r="G27" t="str">
            <v>M.</v>
          </cell>
        </row>
        <row r="28">
          <cell r="C28">
            <v>122</v>
          </cell>
          <cell r="D28" t="str">
            <v>-  2/C - 1.5 SQ.MM. VAF</v>
          </cell>
          <cell r="E28">
            <v>6</v>
          </cell>
          <cell r="F28">
            <v>10</v>
          </cell>
          <cell r="G28" t="str">
            <v>M.</v>
          </cell>
        </row>
        <row r="29">
          <cell r="C29">
            <v>123</v>
          </cell>
          <cell r="D29" t="str">
            <v>-  2/C - 2.5 SQ.MM. VAF</v>
          </cell>
          <cell r="E29">
            <v>9.5</v>
          </cell>
          <cell r="F29">
            <v>10</v>
          </cell>
          <cell r="G29" t="str">
            <v>M.</v>
          </cell>
        </row>
        <row r="30">
          <cell r="C30">
            <v>124</v>
          </cell>
          <cell r="D30" t="str">
            <v>-  2/C - 4 SQ.MM. VAF</v>
          </cell>
          <cell r="E30">
            <v>15.5</v>
          </cell>
          <cell r="F30">
            <v>12</v>
          </cell>
          <cell r="G30" t="str">
            <v>M.</v>
          </cell>
        </row>
        <row r="31">
          <cell r="C31">
            <v>125</v>
          </cell>
          <cell r="D31" t="str">
            <v>-  2/C - 6 SQ.MM. VAF</v>
          </cell>
          <cell r="E31">
            <v>22.5</v>
          </cell>
          <cell r="F31">
            <v>18</v>
          </cell>
          <cell r="G31" t="str">
            <v>M.</v>
          </cell>
        </row>
        <row r="32">
          <cell r="C32">
            <v>126</v>
          </cell>
          <cell r="D32" t="str">
            <v>-  2/C - 10 SQ.MM. VAF</v>
          </cell>
          <cell r="E32">
            <v>35</v>
          </cell>
          <cell r="F32">
            <v>24</v>
          </cell>
          <cell r="G32" t="str">
            <v>M.</v>
          </cell>
        </row>
        <row r="33">
          <cell r="C33">
            <v>127</v>
          </cell>
          <cell r="D33" t="str">
            <v>-  2/C - 16 SQ.MM. VAF</v>
          </cell>
          <cell r="E33">
            <v>52</v>
          </cell>
          <cell r="F33">
            <v>26</v>
          </cell>
          <cell r="G33" t="str">
            <v>M.</v>
          </cell>
        </row>
        <row r="34">
          <cell r="C34">
            <v>128</v>
          </cell>
          <cell r="D34" t="str">
            <v>-  2/C - 1 SQ.MM. VAF-GRD</v>
          </cell>
          <cell r="E34">
            <v>0</v>
          </cell>
          <cell r="F34">
            <v>5</v>
          </cell>
          <cell r="G34" t="str">
            <v>M.</v>
          </cell>
        </row>
        <row r="35">
          <cell r="C35">
            <v>129</v>
          </cell>
          <cell r="D35" t="str">
            <v>-  2/C - 1.5 SQ.MM. VAF-GRD</v>
          </cell>
          <cell r="E35">
            <v>0</v>
          </cell>
          <cell r="F35">
            <v>7</v>
          </cell>
          <cell r="G35" t="str">
            <v>M.</v>
          </cell>
        </row>
        <row r="36">
          <cell r="C36">
            <v>130</v>
          </cell>
          <cell r="D36" t="str">
            <v>-  2/C - 2.5 SQ.MM. VAF-GRD</v>
          </cell>
          <cell r="E36">
            <v>0</v>
          </cell>
          <cell r="F36">
            <v>10</v>
          </cell>
          <cell r="G36" t="str">
            <v>M.</v>
          </cell>
        </row>
        <row r="37">
          <cell r="C37">
            <v>131</v>
          </cell>
          <cell r="D37" t="str">
            <v>-  2/C - 4 SQ.MM. VAF-GRD</v>
          </cell>
          <cell r="E37">
            <v>0</v>
          </cell>
          <cell r="F37">
            <v>12</v>
          </cell>
          <cell r="G37" t="str">
            <v>M.</v>
          </cell>
        </row>
        <row r="38">
          <cell r="C38">
            <v>132</v>
          </cell>
          <cell r="D38" t="str">
            <v>-  2/C - 6 SQ.MM. VAF-GRD</v>
          </cell>
          <cell r="E38">
            <v>0</v>
          </cell>
          <cell r="F38">
            <v>18</v>
          </cell>
          <cell r="G38" t="str">
            <v>M.</v>
          </cell>
        </row>
        <row r="39">
          <cell r="C39">
            <v>133</v>
          </cell>
          <cell r="D39" t="str">
            <v>-  2/C - 10 SQ.MM. VAF-GRD</v>
          </cell>
          <cell r="E39">
            <v>0</v>
          </cell>
          <cell r="F39">
            <v>24</v>
          </cell>
          <cell r="G39" t="str">
            <v>M.</v>
          </cell>
        </row>
        <row r="40">
          <cell r="C40">
            <v>134</v>
          </cell>
          <cell r="D40" t="str">
            <v>-  2/C - 16 SQ.MM. VAF-GRD</v>
          </cell>
          <cell r="E40">
            <v>0</v>
          </cell>
          <cell r="F40">
            <v>26</v>
          </cell>
          <cell r="G40" t="str">
            <v>M.</v>
          </cell>
        </row>
        <row r="41">
          <cell r="C41">
            <v>134</v>
          </cell>
          <cell r="D41" t="str">
            <v>SPACE</v>
          </cell>
          <cell r="E41">
            <v>2500</v>
          </cell>
          <cell r="F41">
            <v>90</v>
          </cell>
          <cell r="G41" t="str">
            <v>SET</v>
          </cell>
        </row>
        <row r="42">
          <cell r="C42">
            <v>136</v>
          </cell>
          <cell r="D42" t="str">
            <v>-  1/C - 1 SQ.MM. NYY</v>
          </cell>
          <cell r="E42">
            <v>12</v>
          </cell>
          <cell r="F42">
            <v>4</v>
          </cell>
          <cell r="G42" t="str">
            <v>M.</v>
          </cell>
        </row>
        <row r="43">
          <cell r="C43">
            <v>137</v>
          </cell>
          <cell r="D43" t="str">
            <v>-  1/C - 1.5 SQ.MM. NYY</v>
          </cell>
          <cell r="E43">
            <v>14</v>
          </cell>
          <cell r="F43">
            <v>4</v>
          </cell>
          <cell r="G43" t="str">
            <v>M.</v>
          </cell>
        </row>
        <row r="44">
          <cell r="C44">
            <v>138</v>
          </cell>
          <cell r="D44" t="str">
            <v>-  1/C - 2.5 SQ.MM. NYY</v>
          </cell>
          <cell r="E44">
            <v>16</v>
          </cell>
          <cell r="F44">
            <v>5</v>
          </cell>
          <cell r="G44" t="str">
            <v>M.</v>
          </cell>
        </row>
        <row r="45">
          <cell r="C45">
            <v>139</v>
          </cell>
          <cell r="D45" t="str">
            <v>-  1/C - 4 SQ.MM. NYY</v>
          </cell>
          <cell r="E45">
            <v>22</v>
          </cell>
          <cell r="F45">
            <v>5</v>
          </cell>
          <cell r="G45" t="str">
            <v>M.</v>
          </cell>
        </row>
        <row r="46">
          <cell r="C46">
            <v>140</v>
          </cell>
          <cell r="D46" t="str">
            <v>-  1/C - 6 SQ.MM. NYY</v>
          </cell>
          <cell r="E46">
            <v>32</v>
          </cell>
          <cell r="F46">
            <v>6</v>
          </cell>
          <cell r="G46" t="str">
            <v>M.</v>
          </cell>
        </row>
        <row r="47">
          <cell r="C47">
            <v>141</v>
          </cell>
          <cell r="D47" t="str">
            <v>-  1/C - 10 SQ.MM. NYY</v>
          </cell>
          <cell r="E47">
            <v>39</v>
          </cell>
          <cell r="F47">
            <v>7</v>
          </cell>
          <cell r="G47" t="str">
            <v>M.</v>
          </cell>
        </row>
        <row r="48">
          <cell r="C48">
            <v>142</v>
          </cell>
          <cell r="D48" t="str">
            <v>-  1/C - 16 SQ.MM. NYY</v>
          </cell>
          <cell r="E48">
            <v>53</v>
          </cell>
          <cell r="F48">
            <v>8</v>
          </cell>
          <cell r="G48" t="str">
            <v>M.</v>
          </cell>
        </row>
        <row r="49">
          <cell r="C49">
            <v>143</v>
          </cell>
          <cell r="D49" t="str">
            <v>-  1/C - 25 SQ.MM. NYY</v>
          </cell>
          <cell r="E49">
            <v>73</v>
          </cell>
          <cell r="F49">
            <v>10</v>
          </cell>
          <cell r="G49" t="str">
            <v>M.</v>
          </cell>
        </row>
        <row r="50">
          <cell r="C50">
            <v>144</v>
          </cell>
          <cell r="D50" t="str">
            <v>-  1/C - 35 SQ.MM. NYY</v>
          </cell>
          <cell r="E50">
            <v>99</v>
          </cell>
          <cell r="F50">
            <v>14</v>
          </cell>
          <cell r="G50" t="str">
            <v>M.</v>
          </cell>
        </row>
        <row r="51">
          <cell r="C51">
            <v>145</v>
          </cell>
          <cell r="D51" t="str">
            <v>-  1/C - 50 SQ.MM. NYY</v>
          </cell>
          <cell r="E51">
            <v>133</v>
          </cell>
          <cell r="F51">
            <v>16</v>
          </cell>
          <cell r="G51" t="str">
            <v>M.</v>
          </cell>
        </row>
        <row r="52">
          <cell r="C52">
            <v>146</v>
          </cell>
          <cell r="D52" t="str">
            <v>-  1/C - 70 SQ.MM. NYY</v>
          </cell>
          <cell r="E52">
            <v>175</v>
          </cell>
          <cell r="F52">
            <v>20</v>
          </cell>
          <cell r="G52" t="str">
            <v>M.</v>
          </cell>
        </row>
        <row r="53">
          <cell r="C53">
            <v>147</v>
          </cell>
          <cell r="D53" t="str">
            <v>-  1/C - 95 SQ.MM. NYY</v>
          </cell>
          <cell r="E53">
            <v>233</v>
          </cell>
          <cell r="F53">
            <v>25</v>
          </cell>
          <cell r="G53" t="str">
            <v>M.</v>
          </cell>
        </row>
        <row r="54">
          <cell r="C54">
            <v>148</v>
          </cell>
          <cell r="D54" t="str">
            <v>-  1/C - 120 SQ.MM. NYY</v>
          </cell>
          <cell r="E54">
            <v>290</v>
          </cell>
          <cell r="F54">
            <v>30</v>
          </cell>
          <cell r="G54" t="str">
            <v>M.</v>
          </cell>
        </row>
        <row r="55">
          <cell r="C55">
            <v>149</v>
          </cell>
          <cell r="D55" t="str">
            <v>-  1/C - 150 SQ.MM. NYY</v>
          </cell>
          <cell r="E55">
            <v>357</v>
          </cell>
          <cell r="F55">
            <v>35</v>
          </cell>
          <cell r="G55" t="str">
            <v>M.</v>
          </cell>
        </row>
        <row r="56">
          <cell r="C56">
            <v>150</v>
          </cell>
          <cell r="D56" t="str">
            <v>-  1/C - 185 SQ.MM. NYY</v>
          </cell>
          <cell r="E56">
            <v>437</v>
          </cell>
          <cell r="F56">
            <v>40</v>
          </cell>
          <cell r="G56" t="str">
            <v>M.</v>
          </cell>
        </row>
        <row r="57">
          <cell r="C57">
            <v>151</v>
          </cell>
          <cell r="D57" t="str">
            <v>-  1/C - 240 SQ.MM. NYY</v>
          </cell>
          <cell r="E57">
            <v>603</v>
          </cell>
          <cell r="F57">
            <v>50</v>
          </cell>
          <cell r="G57" t="str">
            <v>M.</v>
          </cell>
        </row>
        <row r="58">
          <cell r="C58">
            <v>152</v>
          </cell>
          <cell r="D58" t="str">
            <v>-  1/C - 300 SQ.MM. NYY</v>
          </cell>
          <cell r="E58">
            <v>738</v>
          </cell>
          <cell r="F58">
            <v>60</v>
          </cell>
          <cell r="G58" t="str">
            <v>M.</v>
          </cell>
        </row>
        <row r="59">
          <cell r="C59">
            <v>153</v>
          </cell>
          <cell r="D59" t="str">
            <v>-  1/C - 400 SQ.MM. NYY</v>
          </cell>
          <cell r="E59">
            <v>926</v>
          </cell>
          <cell r="F59">
            <v>70</v>
          </cell>
          <cell r="G59" t="str">
            <v>M.</v>
          </cell>
        </row>
        <row r="60">
          <cell r="C60">
            <v>154</v>
          </cell>
          <cell r="D60" t="str">
            <v>-  1/C - 500 SQ.MM. NYY</v>
          </cell>
          <cell r="E60">
            <v>1200</v>
          </cell>
          <cell r="F60">
            <v>80</v>
          </cell>
          <cell r="G60" t="str">
            <v>M.</v>
          </cell>
        </row>
        <row r="61">
          <cell r="C61">
            <v>155</v>
          </cell>
          <cell r="D61" t="str">
            <v>-  2/C - 1 SQ.MM. NYY</v>
          </cell>
          <cell r="E61">
            <v>24</v>
          </cell>
          <cell r="F61">
            <v>7</v>
          </cell>
          <cell r="G61" t="str">
            <v>M.</v>
          </cell>
        </row>
        <row r="62">
          <cell r="C62">
            <v>156</v>
          </cell>
          <cell r="D62" t="str">
            <v>-  2/C - 1.5 SQ.MM. NYY</v>
          </cell>
          <cell r="E62">
            <v>27</v>
          </cell>
          <cell r="F62">
            <v>8</v>
          </cell>
          <cell r="G62" t="str">
            <v>M.</v>
          </cell>
        </row>
        <row r="63">
          <cell r="C63">
            <v>157</v>
          </cell>
          <cell r="D63" t="str">
            <v>-  2/C - 2.5 SQ.MM. NYY</v>
          </cell>
          <cell r="E63">
            <v>32</v>
          </cell>
          <cell r="F63">
            <v>10</v>
          </cell>
          <cell r="G63" t="str">
            <v>M.</v>
          </cell>
        </row>
        <row r="64">
          <cell r="C64">
            <v>158</v>
          </cell>
          <cell r="D64" t="str">
            <v>-  2/C - 4 SQ.MM. NYY</v>
          </cell>
          <cell r="E64">
            <v>45</v>
          </cell>
          <cell r="F64">
            <v>14</v>
          </cell>
          <cell r="G64" t="str">
            <v>M.</v>
          </cell>
        </row>
        <row r="65">
          <cell r="C65">
            <v>159</v>
          </cell>
          <cell r="D65" t="str">
            <v>-  2/C - 6 SQ.MM. NYY</v>
          </cell>
          <cell r="E65">
            <v>62</v>
          </cell>
          <cell r="F65">
            <v>18</v>
          </cell>
          <cell r="G65" t="str">
            <v>M.</v>
          </cell>
        </row>
        <row r="66">
          <cell r="C66">
            <v>160</v>
          </cell>
          <cell r="D66" t="str">
            <v>-  2/C - 10 SQ.MM. NYY</v>
          </cell>
          <cell r="E66">
            <v>88</v>
          </cell>
          <cell r="F66">
            <v>20</v>
          </cell>
          <cell r="G66" t="str">
            <v>M.</v>
          </cell>
        </row>
        <row r="67">
          <cell r="C67">
            <v>161</v>
          </cell>
          <cell r="D67" t="str">
            <v>-  2/C - 16 SQ.MM. NYY</v>
          </cell>
          <cell r="E67">
            <v>125</v>
          </cell>
          <cell r="F67">
            <v>25</v>
          </cell>
          <cell r="G67" t="str">
            <v>M.</v>
          </cell>
        </row>
        <row r="68">
          <cell r="C68">
            <v>162</v>
          </cell>
          <cell r="D68" t="str">
            <v>-  2/C - 25 SQ.MM. NYY</v>
          </cell>
          <cell r="E68">
            <v>183</v>
          </cell>
          <cell r="F68">
            <v>30</v>
          </cell>
          <cell r="G68" t="str">
            <v>M.</v>
          </cell>
        </row>
        <row r="69">
          <cell r="C69">
            <v>163</v>
          </cell>
          <cell r="D69" t="str">
            <v>-  2/C - 35 SQ.MM. NYY</v>
          </cell>
          <cell r="E69">
            <v>243</v>
          </cell>
          <cell r="F69">
            <v>35</v>
          </cell>
          <cell r="G69" t="str">
            <v>M.</v>
          </cell>
        </row>
        <row r="70">
          <cell r="C70">
            <v>164</v>
          </cell>
          <cell r="D70" t="str">
            <v>-  2/C - 50 SQ.MM. NYY</v>
          </cell>
          <cell r="E70">
            <v>347</v>
          </cell>
          <cell r="F70">
            <v>40</v>
          </cell>
          <cell r="G70" t="str">
            <v>M.</v>
          </cell>
        </row>
        <row r="71">
          <cell r="C71">
            <v>165</v>
          </cell>
          <cell r="D71" t="str">
            <v>-  2/C - 70 SQ.MM. NYY</v>
          </cell>
          <cell r="E71">
            <v>451</v>
          </cell>
          <cell r="F71">
            <v>60</v>
          </cell>
          <cell r="G71" t="str">
            <v>M.</v>
          </cell>
        </row>
        <row r="72">
          <cell r="C72">
            <v>166</v>
          </cell>
          <cell r="D72" t="str">
            <v>-  2/C - 95 SQ.MM. NYY</v>
          </cell>
          <cell r="E72">
            <v>592</v>
          </cell>
          <cell r="F72">
            <v>70</v>
          </cell>
          <cell r="G72" t="str">
            <v>M.</v>
          </cell>
        </row>
        <row r="73">
          <cell r="C73">
            <v>167</v>
          </cell>
          <cell r="D73" t="str">
            <v>-  2/C - 120 SQ.MM. NYY</v>
          </cell>
          <cell r="E73">
            <v>736</v>
          </cell>
          <cell r="F73">
            <v>75</v>
          </cell>
          <cell r="G73" t="str">
            <v>M.</v>
          </cell>
        </row>
        <row r="74">
          <cell r="C74">
            <v>168</v>
          </cell>
          <cell r="D74" t="str">
            <v>-  2/C - 150 SQ.MM. NYY</v>
          </cell>
          <cell r="E74">
            <v>902</v>
          </cell>
          <cell r="F74">
            <v>80</v>
          </cell>
          <cell r="G74" t="str">
            <v>M.</v>
          </cell>
        </row>
        <row r="75">
          <cell r="C75">
            <v>169</v>
          </cell>
          <cell r="D75" t="str">
            <v>-  2/C - 185 SQ.MM. NYY</v>
          </cell>
          <cell r="E75">
            <v>1107</v>
          </cell>
          <cell r="F75">
            <v>85</v>
          </cell>
          <cell r="G75" t="str">
            <v>M.</v>
          </cell>
        </row>
        <row r="76">
          <cell r="C76">
            <v>170</v>
          </cell>
          <cell r="D76" t="str">
            <v>-  2/C - 240 SQ.MM. NYY</v>
          </cell>
          <cell r="E76">
            <v>1512</v>
          </cell>
          <cell r="F76">
            <v>90</v>
          </cell>
          <cell r="G76" t="str">
            <v>M.</v>
          </cell>
        </row>
        <row r="77">
          <cell r="C77">
            <v>171</v>
          </cell>
          <cell r="D77" t="str">
            <v>-  2/C - 300 SQ.MM. NYY</v>
          </cell>
          <cell r="E77">
            <v>1861</v>
          </cell>
          <cell r="F77">
            <v>100</v>
          </cell>
          <cell r="G77" t="str">
            <v>M.</v>
          </cell>
        </row>
        <row r="78">
          <cell r="C78">
            <v>172</v>
          </cell>
          <cell r="D78" t="str">
            <v>-  3/C - 1 SQ.MM. NYY</v>
          </cell>
          <cell r="E78">
            <v>26</v>
          </cell>
          <cell r="F78">
            <v>10</v>
          </cell>
          <cell r="G78" t="str">
            <v>M.</v>
          </cell>
        </row>
        <row r="79">
          <cell r="C79">
            <v>173</v>
          </cell>
          <cell r="D79" t="str">
            <v>-  3/C - 1.5 SQ.MM. NYY</v>
          </cell>
          <cell r="E79">
            <v>30</v>
          </cell>
          <cell r="F79">
            <v>14</v>
          </cell>
          <cell r="G79" t="str">
            <v>M.</v>
          </cell>
        </row>
        <row r="80">
          <cell r="C80">
            <v>174</v>
          </cell>
          <cell r="D80" t="str">
            <v>-  3/C - 2.5 SQ.MM. NYY</v>
          </cell>
          <cell r="E80">
            <v>37</v>
          </cell>
          <cell r="F80">
            <v>18</v>
          </cell>
          <cell r="G80" t="str">
            <v>M.</v>
          </cell>
        </row>
        <row r="81">
          <cell r="C81">
            <v>175</v>
          </cell>
          <cell r="D81" t="str">
            <v>-  3/C - 4 SQ.MM. NYY</v>
          </cell>
          <cell r="E81">
            <v>53</v>
          </cell>
          <cell r="F81">
            <v>20</v>
          </cell>
          <cell r="G81" t="str">
            <v>M.</v>
          </cell>
        </row>
        <row r="82">
          <cell r="C82">
            <v>176</v>
          </cell>
          <cell r="D82" t="str">
            <v>-  3/C - 6 SQ.MM. NYY</v>
          </cell>
          <cell r="E82">
            <v>77</v>
          </cell>
          <cell r="F82">
            <v>25</v>
          </cell>
          <cell r="G82" t="str">
            <v>M.</v>
          </cell>
        </row>
        <row r="83">
          <cell r="C83">
            <v>177</v>
          </cell>
          <cell r="D83" t="str">
            <v>-  3/C - 10 SQ.MM. NYY</v>
          </cell>
          <cell r="E83">
            <v>113</v>
          </cell>
          <cell r="F83">
            <v>30</v>
          </cell>
          <cell r="G83" t="str">
            <v>M.</v>
          </cell>
        </row>
        <row r="84">
          <cell r="C84">
            <v>178</v>
          </cell>
          <cell r="D84" t="str">
            <v>-  3/C - 16 SQ.MM. NYY</v>
          </cell>
          <cell r="E84">
            <v>166</v>
          </cell>
          <cell r="F84">
            <v>35</v>
          </cell>
          <cell r="G84" t="str">
            <v>M.</v>
          </cell>
        </row>
        <row r="85">
          <cell r="C85">
            <v>179</v>
          </cell>
          <cell r="D85" t="str">
            <v>-  3/C - 25 SQ.MM. NYY</v>
          </cell>
          <cell r="E85">
            <v>240</v>
          </cell>
          <cell r="F85">
            <v>40</v>
          </cell>
          <cell r="G85" t="str">
            <v>M.</v>
          </cell>
        </row>
        <row r="86">
          <cell r="C86">
            <v>180</v>
          </cell>
          <cell r="D86" t="str">
            <v>-  3/C - 35 SQ.MM. NYY</v>
          </cell>
          <cell r="E86">
            <v>323</v>
          </cell>
          <cell r="F86">
            <v>65</v>
          </cell>
          <cell r="G86" t="str">
            <v>M.</v>
          </cell>
        </row>
        <row r="87">
          <cell r="C87">
            <v>181</v>
          </cell>
          <cell r="D87" t="str">
            <v>-  3/C - 50 SQ.MM. NYY</v>
          </cell>
          <cell r="E87">
            <v>468</v>
          </cell>
          <cell r="F87">
            <v>70</v>
          </cell>
          <cell r="G87" t="str">
            <v>M.</v>
          </cell>
        </row>
        <row r="88">
          <cell r="C88">
            <v>182</v>
          </cell>
          <cell r="D88" t="str">
            <v>-  3/C - 70 SQ.MM. NYY</v>
          </cell>
          <cell r="E88">
            <v>605</v>
          </cell>
          <cell r="F88">
            <v>75</v>
          </cell>
          <cell r="G88" t="str">
            <v>M.</v>
          </cell>
        </row>
        <row r="89">
          <cell r="C89">
            <v>183</v>
          </cell>
          <cell r="D89" t="str">
            <v>-  3/C - 95 SQ.MM. NYY</v>
          </cell>
          <cell r="E89">
            <v>806</v>
          </cell>
          <cell r="F89">
            <v>80</v>
          </cell>
          <cell r="G89" t="str">
            <v>M.</v>
          </cell>
        </row>
        <row r="90">
          <cell r="C90">
            <v>184</v>
          </cell>
          <cell r="D90" t="str">
            <v>-  3/C - 120 SQ.MM. NYY</v>
          </cell>
          <cell r="E90">
            <v>1012</v>
          </cell>
          <cell r="F90">
            <v>85</v>
          </cell>
          <cell r="G90" t="str">
            <v>M.</v>
          </cell>
        </row>
        <row r="91">
          <cell r="C91">
            <v>185</v>
          </cell>
          <cell r="D91" t="str">
            <v>-  3/C - 150 SQ.MM. NYY</v>
          </cell>
          <cell r="E91">
            <v>1233</v>
          </cell>
          <cell r="F91">
            <v>90</v>
          </cell>
          <cell r="G91" t="str">
            <v>M.</v>
          </cell>
        </row>
        <row r="92">
          <cell r="C92">
            <v>186</v>
          </cell>
          <cell r="D92" t="str">
            <v>-  3/C - 185 SQ.MM. NYY</v>
          </cell>
          <cell r="E92">
            <v>1524</v>
          </cell>
          <cell r="F92">
            <v>110</v>
          </cell>
          <cell r="G92" t="str">
            <v>M.</v>
          </cell>
        </row>
        <row r="93">
          <cell r="C93">
            <v>187</v>
          </cell>
          <cell r="D93" t="str">
            <v>-  3/C - 240 SQ.MM. NYY</v>
          </cell>
          <cell r="E93">
            <v>2076</v>
          </cell>
          <cell r="F93">
            <v>120</v>
          </cell>
          <cell r="G93" t="str">
            <v>M.</v>
          </cell>
        </row>
        <row r="94">
          <cell r="C94">
            <v>188</v>
          </cell>
          <cell r="D94" t="str">
            <v>-  3/C - 300 SQ.MM. NYY</v>
          </cell>
          <cell r="E94">
            <v>2553</v>
          </cell>
          <cell r="F94">
            <v>130</v>
          </cell>
          <cell r="G94" t="str">
            <v>M.</v>
          </cell>
        </row>
        <row r="95">
          <cell r="C95">
            <v>189</v>
          </cell>
          <cell r="D95" t="str">
            <v>-  4/C - 1 SQ.MM. NYY</v>
          </cell>
          <cell r="E95">
            <v>31</v>
          </cell>
          <cell r="F95">
            <v>14</v>
          </cell>
          <cell r="G95" t="str">
            <v>M.</v>
          </cell>
        </row>
        <row r="96">
          <cell r="C96">
            <v>190</v>
          </cell>
          <cell r="D96" t="str">
            <v>-  4/C - 1.5 SQ.MM. NYY</v>
          </cell>
          <cell r="E96">
            <v>35</v>
          </cell>
          <cell r="F96">
            <v>18</v>
          </cell>
          <cell r="G96" t="str">
            <v>M.</v>
          </cell>
        </row>
        <row r="97">
          <cell r="C97">
            <v>191</v>
          </cell>
          <cell r="D97" t="str">
            <v>-  4/C - 2.5 SQ.MM. NYY</v>
          </cell>
          <cell r="E97">
            <v>43</v>
          </cell>
          <cell r="F97">
            <v>20</v>
          </cell>
          <cell r="G97" t="str">
            <v>M.</v>
          </cell>
        </row>
        <row r="98">
          <cell r="C98">
            <v>192</v>
          </cell>
          <cell r="D98" t="str">
            <v>-  4/C - 4 SQ.MM. NYY</v>
          </cell>
          <cell r="E98">
            <v>64</v>
          </cell>
          <cell r="F98">
            <v>25</v>
          </cell>
          <cell r="G98" t="str">
            <v>M.</v>
          </cell>
        </row>
        <row r="99">
          <cell r="C99">
            <v>193</v>
          </cell>
          <cell r="D99" t="str">
            <v>-  4/C - 6 SQ.MM. NYY</v>
          </cell>
          <cell r="E99">
            <v>93</v>
          </cell>
          <cell r="F99">
            <v>30</v>
          </cell>
          <cell r="G99" t="str">
            <v>M.</v>
          </cell>
        </row>
        <row r="100">
          <cell r="C100">
            <v>194</v>
          </cell>
          <cell r="D100" t="str">
            <v>-  4/C - 10 SQ.MM. NYY</v>
          </cell>
          <cell r="E100">
            <v>143</v>
          </cell>
          <cell r="F100">
            <v>40</v>
          </cell>
          <cell r="G100" t="str">
            <v>M.</v>
          </cell>
        </row>
        <row r="101">
          <cell r="C101">
            <v>195</v>
          </cell>
          <cell r="D101" t="str">
            <v>-  4/C - 16 SQ.MM. NYY</v>
          </cell>
          <cell r="E101">
            <v>210</v>
          </cell>
          <cell r="F101">
            <v>45</v>
          </cell>
          <cell r="G101" t="str">
            <v>M.</v>
          </cell>
        </row>
        <row r="102">
          <cell r="C102">
            <v>196</v>
          </cell>
          <cell r="D102" t="str">
            <v>-  4/C - 25 SQ.MM. NYY</v>
          </cell>
          <cell r="E102">
            <v>308</v>
          </cell>
          <cell r="F102">
            <v>65</v>
          </cell>
          <cell r="G102" t="str">
            <v>M.</v>
          </cell>
        </row>
        <row r="103">
          <cell r="C103">
            <v>197</v>
          </cell>
          <cell r="D103" t="str">
            <v>-  4/C - 35 SQ.MM. NYY</v>
          </cell>
          <cell r="E103">
            <v>425</v>
          </cell>
          <cell r="F103">
            <v>70</v>
          </cell>
          <cell r="G103" t="str">
            <v>M.</v>
          </cell>
        </row>
        <row r="104">
          <cell r="C104">
            <v>198</v>
          </cell>
          <cell r="D104" t="str">
            <v>-  4/C - 50 SQ.MM. NYY</v>
          </cell>
          <cell r="E104">
            <v>596</v>
          </cell>
          <cell r="F104">
            <v>75</v>
          </cell>
          <cell r="G104" t="str">
            <v>M.</v>
          </cell>
        </row>
        <row r="105">
          <cell r="C105">
            <v>199</v>
          </cell>
          <cell r="D105" t="str">
            <v>-  4/C - 70 SQ.MM. NYY</v>
          </cell>
          <cell r="E105">
            <v>782</v>
          </cell>
          <cell r="F105">
            <v>80</v>
          </cell>
          <cell r="G105" t="str">
            <v>M.</v>
          </cell>
        </row>
        <row r="106">
          <cell r="C106">
            <v>200</v>
          </cell>
          <cell r="D106" t="str">
            <v>-  4/C - 95 SQ.MM. NYY</v>
          </cell>
          <cell r="E106">
            <v>1051</v>
          </cell>
          <cell r="F106">
            <v>85</v>
          </cell>
          <cell r="G106" t="str">
            <v>M.</v>
          </cell>
        </row>
        <row r="107">
          <cell r="C107">
            <v>201</v>
          </cell>
          <cell r="D107" t="str">
            <v>-  4/C - 120 SQ.MM. NYY</v>
          </cell>
          <cell r="E107">
            <v>1307</v>
          </cell>
          <cell r="F107">
            <v>90</v>
          </cell>
          <cell r="G107" t="str">
            <v>M.</v>
          </cell>
        </row>
        <row r="108">
          <cell r="C108">
            <v>202</v>
          </cell>
          <cell r="D108" t="str">
            <v>-  4/C - 150 SQ.MM. NYY</v>
          </cell>
          <cell r="E108">
            <v>1607</v>
          </cell>
          <cell r="F108">
            <v>110</v>
          </cell>
          <cell r="G108" t="str">
            <v>M.</v>
          </cell>
        </row>
        <row r="109">
          <cell r="C109">
            <v>203</v>
          </cell>
          <cell r="D109" t="str">
            <v>-  4/C - 185 SQ.MM. NYY</v>
          </cell>
          <cell r="E109">
            <v>1969</v>
          </cell>
          <cell r="F109">
            <v>120</v>
          </cell>
          <cell r="G109" t="str">
            <v>M.</v>
          </cell>
        </row>
        <row r="110">
          <cell r="C110">
            <v>204</v>
          </cell>
          <cell r="D110" t="str">
            <v>-  4/C - 240 SQ.MM. NYY</v>
          </cell>
          <cell r="E110">
            <v>2705</v>
          </cell>
          <cell r="F110">
            <v>130</v>
          </cell>
          <cell r="G110" t="str">
            <v>M.</v>
          </cell>
        </row>
        <row r="111">
          <cell r="C111">
            <v>205</v>
          </cell>
          <cell r="D111" t="str">
            <v>-  4/C - 300 SQ.MM. NYY</v>
          </cell>
          <cell r="E111">
            <v>3325</v>
          </cell>
          <cell r="F111">
            <v>140</v>
          </cell>
          <cell r="G111" t="str">
            <v>M.</v>
          </cell>
        </row>
        <row r="112">
          <cell r="C112">
            <v>206</v>
          </cell>
          <cell r="D112" t="str">
            <v>-  3/C - 6 SQ.MM. NYY-N</v>
          </cell>
          <cell r="E112">
            <v>0</v>
          </cell>
          <cell r="F112">
            <v>35</v>
          </cell>
          <cell r="G112" t="str">
            <v>M.</v>
          </cell>
        </row>
        <row r="113">
          <cell r="C113">
            <v>207</v>
          </cell>
          <cell r="D113" t="str">
            <v>-  3/C - 10 SQ.MM. NYY-N</v>
          </cell>
          <cell r="E113">
            <v>0</v>
          </cell>
          <cell r="F113">
            <v>40</v>
          </cell>
          <cell r="G113" t="str">
            <v>M.</v>
          </cell>
        </row>
        <row r="114">
          <cell r="C114">
            <v>208</v>
          </cell>
          <cell r="D114" t="str">
            <v>-  3/C - 16 SQ.MM. NYY-N</v>
          </cell>
          <cell r="E114">
            <v>0</v>
          </cell>
          <cell r="F114">
            <v>60</v>
          </cell>
          <cell r="G114" t="str">
            <v>M.</v>
          </cell>
        </row>
        <row r="115">
          <cell r="C115">
            <v>209</v>
          </cell>
          <cell r="D115" t="str">
            <v>-  3/C - 25 SQ.MM. NYY-N</v>
          </cell>
          <cell r="E115">
            <v>358</v>
          </cell>
          <cell r="F115">
            <v>65</v>
          </cell>
          <cell r="G115" t="str">
            <v>M.</v>
          </cell>
        </row>
        <row r="116">
          <cell r="C116">
            <v>210</v>
          </cell>
          <cell r="D116" t="str">
            <v>-  3/C - 35 SQ.MM. NYY-N</v>
          </cell>
          <cell r="E116">
            <v>475</v>
          </cell>
          <cell r="F116">
            <v>70</v>
          </cell>
          <cell r="G116" t="str">
            <v>M.</v>
          </cell>
        </row>
        <row r="117">
          <cell r="C117">
            <v>211</v>
          </cell>
          <cell r="D117" t="str">
            <v>-  3/C - 50 SQ.MM. NYY-N</v>
          </cell>
          <cell r="E117">
            <v>672</v>
          </cell>
          <cell r="F117">
            <v>75</v>
          </cell>
          <cell r="G117" t="str">
            <v>M.</v>
          </cell>
        </row>
        <row r="118">
          <cell r="C118">
            <v>212</v>
          </cell>
          <cell r="D118" t="str">
            <v>-  3/C - 70 SQ.MM. NYY-N</v>
          </cell>
          <cell r="E118">
            <v>899</v>
          </cell>
          <cell r="F118">
            <v>80</v>
          </cell>
          <cell r="G118" t="str">
            <v>M.</v>
          </cell>
        </row>
        <row r="119">
          <cell r="C119">
            <v>213</v>
          </cell>
          <cell r="D119" t="str">
            <v>-  3/C - 95 SQ.MM. NYY-N</v>
          </cell>
          <cell r="E119">
            <v>1197</v>
          </cell>
          <cell r="F119">
            <v>85</v>
          </cell>
          <cell r="G119" t="str">
            <v>M.</v>
          </cell>
        </row>
        <row r="120">
          <cell r="C120">
            <v>214</v>
          </cell>
          <cell r="D120" t="str">
            <v>-  3/C - 120 SQ.MM. NYY-N</v>
          </cell>
          <cell r="E120">
            <v>1502</v>
          </cell>
          <cell r="F120">
            <v>90</v>
          </cell>
          <cell r="G120" t="str">
            <v>M.</v>
          </cell>
        </row>
        <row r="121">
          <cell r="C121">
            <v>215</v>
          </cell>
          <cell r="D121" t="str">
            <v>-  3/C - 150 SQ.MM. NYY-N</v>
          </cell>
          <cell r="E121">
            <v>1790</v>
          </cell>
          <cell r="F121">
            <v>110</v>
          </cell>
          <cell r="G121" t="str">
            <v>M.</v>
          </cell>
        </row>
        <row r="122">
          <cell r="C122">
            <v>216</v>
          </cell>
          <cell r="D122" t="str">
            <v>-  3/C - 185 SQ.MM. NYY-N</v>
          </cell>
          <cell r="E122">
            <v>2221</v>
          </cell>
          <cell r="F122">
            <v>120</v>
          </cell>
          <cell r="G122" t="str">
            <v>M.</v>
          </cell>
        </row>
        <row r="123">
          <cell r="C123">
            <v>217</v>
          </cell>
          <cell r="D123" t="str">
            <v>-  3/C - 240 SQ.MM. NYY-N</v>
          </cell>
          <cell r="E123">
            <v>3015</v>
          </cell>
          <cell r="F123">
            <v>130</v>
          </cell>
          <cell r="G123" t="str">
            <v>M.</v>
          </cell>
        </row>
        <row r="124">
          <cell r="C124">
            <v>218</v>
          </cell>
          <cell r="D124" t="str">
            <v>-  3/C - 300 SQ.MM. NYY-N</v>
          </cell>
          <cell r="E124">
            <v>3713</v>
          </cell>
          <cell r="F124">
            <v>140</v>
          </cell>
          <cell r="G124" t="str">
            <v>M.</v>
          </cell>
        </row>
        <row r="125">
          <cell r="C125">
            <v>219</v>
          </cell>
          <cell r="D125" t="str">
            <v>-  3/C - 6 SQ.MM. NYCY</v>
          </cell>
          <cell r="E125">
            <v>0</v>
          </cell>
          <cell r="F125">
            <v>75</v>
          </cell>
          <cell r="G125" t="str">
            <v>M.</v>
          </cell>
        </row>
        <row r="126">
          <cell r="C126">
            <v>220</v>
          </cell>
          <cell r="D126" t="str">
            <v>-  3/C - 10 SQ.MM. NYCY</v>
          </cell>
          <cell r="E126">
            <v>0</v>
          </cell>
          <cell r="F126">
            <v>80</v>
          </cell>
          <cell r="G126" t="str">
            <v>M.</v>
          </cell>
        </row>
        <row r="127">
          <cell r="C127">
            <v>221</v>
          </cell>
          <cell r="D127" t="str">
            <v>-  3/C - 16 SQ.MM. NYCY</v>
          </cell>
          <cell r="E127">
            <v>0</v>
          </cell>
          <cell r="F127">
            <v>85</v>
          </cell>
          <cell r="G127" t="str">
            <v>M.</v>
          </cell>
        </row>
        <row r="128">
          <cell r="C128">
            <v>222</v>
          </cell>
          <cell r="D128" t="str">
            <v>-  3/C - 25 SQ.MM. NYCY</v>
          </cell>
          <cell r="E128">
            <v>390</v>
          </cell>
          <cell r="F128">
            <v>75</v>
          </cell>
          <cell r="G128" t="str">
            <v>M.</v>
          </cell>
        </row>
        <row r="129">
          <cell r="C129">
            <v>223</v>
          </cell>
          <cell r="D129" t="str">
            <v>-  3/C - 35 SQ.MM. NYCY</v>
          </cell>
          <cell r="E129">
            <v>485</v>
          </cell>
          <cell r="F129">
            <v>80</v>
          </cell>
          <cell r="G129" t="str">
            <v>M.</v>
          </cell>
        </row>
        <row r="130">
          <cell r="C130">
            <v>224</v>
          </cell>
          <cell r="D130" t="str">
            <v>-  3/C - 50 SQ.MM. NYCY</v>
          </cell>
          <cell r="E130">
            <v>718</v>
          </cell>
          <cell r="F130">
            <v>85</v>
          </cell>
          <cell r="G130" t="str">
            <v>M.</v>
          </cell>
        </row>
        <row r="131">
          <cell r="C131">
            <v>225</v>
          </cell>
          <cell r="D131" t="str">
            <v>-  3/C - 70 SQ.MM. NYCY</v>
          </cell>
          <cell r="E131">
            <v>918</v>
          </cell>
          <cell r="F131">
            <v>90</v>
          </cell>
          <cell r="G131" t="str">
            <v>M.</v>
          </cell>
        </row>
        <row r="132">
          <cell r="C132">
            <v>226</v>
          </cell>
          <cell r="D132" t="str">
            <v>-  3/C - 95 SQ.MM. NYCY</v>
          </cell>
          <cell r="E132">
            <v>1234</v>
          </cell>
          <cell r="F132">
            <v>110</v>
          </cell>
          <cell r="G132" t="str">
            <v>M.</v>
          </cell>
        </row>
        <row r="133">
          <cell r="C133">
            <v>227</v>
          </cell>
          <cell r="D133" t="str">
            <v>-  3/C - 120 SQ.MM. NYCY</v>
          </cell>
          <cell r="E133">
            <v>1564</v>
          </cell>
          <cell r="F133">
            <v>120</v>
          </cell>
          <cell r="G133" t="str">
            <v>M.</v>
          </cell>
        </row>
        <row r="134">
          <cell r="C134">
            <v>228</v>
          </cell>
          <cell r="D134" t="str">
            <v>-  3/C - 150 SQ.MM. NYCY</v>
          </cell>
          <cell r="E134">
            <v>1872</v>
          </cell>
          <cell r="F134">
            <v>130</v>
          </cell>
          <cell r="G134" t="str">
            <v>M.</v>
          </cell>
        </row>
        <row r="135">
          <cell r="C135">
            <v>229</v>
          </cell>
          <cell r="D135" t="str">
            <v>-  3/C - 185 SQ.MM. NYCY</v>
          </cell>
          <cell r="E135">
            <v>2322</v>
          </cell>
          <cell r="F135">
            <v>140</v>
          </cell>
          <cell r="G135" t="str">
            <v>M.</v>
          </cell>
        </row>
        <row r="136">
          <cell r="C136">
            <v>230</v>
          </cell>
          <cell r="D136" t="str">
            <v>-  3/C - 240 SQ.MM. NYCY</v>
          </cell>
          <cell r="E136">
            <v>3146</v>
          </cell>
          <cell r="F136">
            <v>150</v>
          </cell>
          <cell r="G136" t="str">
            <v>M.</v>
          </cell>
        </row>
        <row r="137">
          <cell r="C137">
            <v>231</v>
          </cell>
          <cell r="D137" t="str">
            <v>-  3/C - 300 SQ.MM. NYCY</v>
          </cell>
          <cell r="E137">
            <v>3865</v>
          </cell>
          <cell r="F137">
            <v>170</v>
          </cell>
          <cell r="G137" t="str">
            <v>M.</v>
          </cell>
        </row>
        <row r="138">
          <cell r="C138">
            <v>232</v>
          </cell>
          <cell r="D138" t="str">
            <v>-  1/C - 2.5 SQ.MM. 0.6/1KV.CV</v>
          </cell>
          <cell r="E138">
            <v>15</v>
          </cell>
          <cell r="F138">
            <v>5</v>
          </cell>
          <cell r="G138" t="str">
            <v>M.</v>
          </cell>
        </row>
        <row r="139">
          <cell r="C139">
            <v>233</v>
          </cell>
          <cell r="D139" t="str">
            <v>-  1/C - 4 SQ.MM. 0.6/1KV.CV</v>
          </cell>
          <cell r="E139">
            <v>16</v>
          </cell>
          <cell r="F139">
            <v>6</v>
          </cell>
          <cell r="G139" t="str">
            <v>M.</v>
          </cell>
        </row>
        <row r="140">
          <cell r="C140">
            <v>234</v>
          </cell>
          <cell r="D140" t="str">
            <v>-  1/C - 6 SQ.MM. 0.6/1KV.CV</v>
          </cell>
          <cell r="E140">
            <v>20</v>
          </cell>
          <cell r="F140">
            <v>7</v>
          </cell>
          <cell r="G140" t="str">
            <v>M.</v>
          </cell>
        </row>
        <row r="141">
          <cell r="C141">
            <v>235</v>
          </cell>
          <cell r="D141" t="str">
            <v>-  1/C - 10 SQ.MM. 0.6/1KV.CV</v>
          </cell>
          <cell r="E141">
            <v>29</v>
          </cell>
          <cell r="F141">
            <v>8</v>
          </cell>
          <cell r="G141" t="str">
            <v>M.</v>
          </cell>
        </row>
        <row r="142">
          <cell r="C142">
            <v>236</v>
          </cell>
          <cell r="D142" t="str">
            <v>-  1/C - 16 SQ.MM. 0.6/1KV.CV</v>
          </cell>
          <cell r="E142">
            <v>41</v>
          </cell>
          <cell r="F142">
            <v>10</v>
          </cell>
          <cell r="G142" t="str">
            <v>M.</v>
          </cell>
        </row>
        <row r="143">
          <cell r="C143">
            <v>237</v>
          </cell>
          <cell r="D143" t="str">
            <v>-  1/C - 25 SQ.MM. 0.6/1KV.CV</v>
          </cell>
          <cell r="E143">
            <v>59</v>
          </cell>
          <cell r="F143">
            <v>14</v>
          </cell>
          <cell r="G143" t="str">
            <v>M.</v>
          </cell>
        </row>
        <row r="144">
          <cell r="C144">
            <v>238</v>
          </cell>
          <cell r="D144" t="str">
            <v>-  1/C - 35 SQ.MM. 0.6/1KV.CV</v>
          </cell>
          <cell r="E144">
            <v>77</v>
          </cell>
          <cell r="F144">
            <v>18</v>
          </cell>
          <cell r="G144" t="str">
            <v>M.</v>
          </cell>
        </row>
        <row r="145">
          <cell r="C145">
            <v>239</v>
          </cell>
          <cell r="D145" t="str">
            <v>-  1/C - 50 SQ.MM. 0.6/1KV.CV</v>
          </cell>
          <cell r="E145">
            <v>103</v>
          </cell>
          <cell r="F145">
            <v>20</v>
          </cell>
          <cell r="G145" t="str">
            <v>M.</v>
          </cell>
        </row>
        <row r="146">
          <cell r="C146">
            <v>240</v>
          </cell>
          <cell r="D146" t="str">
            <v>-  1/C - 70 SQ.MM. 0.6/1KV.CV</v>
          </cell>
          <cell r="E146">
            <v>142</v>
          </cell>
          <cell r="F146">
            <v>25</v>
          </cell>
          <cell r="G146" t="str">
            <v>M.</v>
          </cell>
        </row>
        <row r="147">
          <cell r="C147">
            <v>241</v>
          </cell>
          <cell r="D147" t="str">
            <v>-  1/C - 95 SQ.MM. 0.6/1KV.CV</v>
          </cell>
          <cell r="E147">
            <v>193</v>
          </cell>
          <cell r="F147">
            <v>30</v>
          </cell>
          <cell r="G147" t="str">
            <v>M.</v>
          </cell>
        </row>
        <row r="148">
          <cell r="C148">
            <v>242</v>
          </cell>
          <cell r="D148" t="str">
            <v>-  1/C - 120 SQ.MM. 0.6/1KV.CV</v>
          </cell>
          <cell r="E148">
            <v>242</v>
          </cell>
          <cell r="F148">
            <v>35</v>
          </cell>
          <cell r="G148" t="str">
            <v>M.</v>
          </cell>
        </row>
        <row r="149">
          <cell r="C149">
            <v>243</v>
          </cell>
          <cell r="D149" t="str">
            <v>-  1/C - 150 SQ.MM. 0.6/1KV.CV</v>
          </cell>
          <cell r="E149">
            <v>296</v>
          </cell>
          <cell r="F149">
            <v>40</v>
          </cell>
          <cell r="G149" t="str">
            <v>M.</v>
          </cell>
        </row>
        <row r="150">
          <cell r="C150">
            <v>244</v>
          </cell>
          <cell r="D150" t="str">
            <v>-  1/C - 185 SQ.MM. 0.6/1KV.CV</v>
          </cell>
          <cell r="E150">
            <v>398</v>
          </cell>
          <cell r="F150">
            <v>60</v>
          </cell>
          <cell r="G150" t="str">
            <v>M.</v>
          </cell>
        </row>
        <row r="151">
          <cell r="C151">
            <v>245</v>
          </cell>
          <cell r="D151" t="str">
            <v>-  1/C - 240 SQ.MM. 0.6/1KV.CV</v>
          </cell>
          <cell r="E151">
            <v>480</v>
          </cell>
          <cell r="F151">
            <v>70</v>
          </cell>
          <cell r="G151" t="str">
            <v>M.</v>
          </cell>
        </row>
        <row r="152">
          <cell r="C152">
            <v>246</v>
          </cell>
          <cell r="D152" t="str">
            <v>-  1/C - 300 SQ.MM. 0.6/1KV.CV</v>
          </cell>
          <cell r="E152">
            <v>597</v>
          </cell>
          <cell r="F152">
            <v>75</v>
          </cell>
          <cell r="G152" t="str">
            <v>M.</v>
          </cell>
        </row>
        <row r="153">
          <cell r="C153">
            <v>247</v>
          </cell>
          <cell r="D153" t="str">
            <v>-  1/C - 400 SQ.MM. 0.6/1KV.CV</v>
          </cell>
          <cell r="E153">
            <v>753</v>
          </cell>
          <cell r="F153">
            <v>80</v>
          </cell>
          <cell r="G153" t="str">
            <v>M.</v>
          </cell>
        </row>
        <row r="154">
          <cell r="C154">
            <v>248</v>
          </cell>
          <cell r="D154" t="str">
            <v>-  2/C - 2.5 SQ.MM. 0.6/1KV.CV</v>
          </cell>
          <cell r="E154">
            <v>30</v>
          </cell>
          <cell r="F154">
            <v>8</v>
          </cell>
          <cell r="G154" t="str">
            <v>M.</v>
          </cell>
        </row>
        <row r="155">
          <cell r="C155">
            <v>249</v>
          </cell>
          <cell r="D155" t="str">
            <v>-  2/C - 4 SQ.MM. 0.6/1KV.CV</v>
          </cell>
          <cell r="E155">
            <v>36</v>
          </cell>
          <cell r="F155">
            <v>10</v>
          </cell>
          <cell r="G155" t="str">
            <v>M.</v>
          </cell>
        </row>
        <row r="156">
          <cell r="C156">
            <v>250</v>
          </cell>
          <cell r="D156" t="str">
            <v>-  2/C - 6 SQ.MM. 0.6/1KV.CV</v>
          </cell>
          <cell r="E156">
            <v>46</v>
          </cell>
          <cell r="F156">
            <v>14</v>
          </cell>
          <cell r="G156" t="str">
            <v>M.</v>
          </cell>
        </row>
        <row r="157">
          <cell r="C157">
            <v>251</v>
          </cell>
          <cell r="D157" t="str">
            <v>-  2/C - 10 SQ.MM. 0.6/1KV.CV</v>
          </cell>
          <cell r="E157">
            <v>60</v>
          </cell>
          <cell r="F157">
            <v>18</v>
          </cell>
          <cell r="G157" t="str">
            <v>M.</v>
          </cell>
        </row>
        <row r="158">
          <cell r="C158">
            <v>252</v>
          </cell>
          <cell r="D158" t="str">
            <v>-  2/C - 16 SQ.MM. 0.6/1KV.CV</v>
          </cell>
          <cell r="E158">
            <v>87</v>
          </cell>
          <cell r="F158">
            <v>20</v>
          </cell>
          <cell r="G158" t="str">
            <v>M.</v>
          </cell>
        </row>
        <row r="159">
          <cell r="C159">
            <v>253</v>
          </cell>
          <cell r="D159" t="str">
            <v>-  2/C - 25 SQ.MM. 0.6/1KV.CV</v>
          </cell>
          <cell r="E159">
            <v>128</v>
          </cell>
          <cell r="F159">
            <v>25</v>
          </cell>
          <cell r="G159" t="str">
            <v>M.</v>
          </cell>
        </row>
        <row r="160">
          <cell r="C160">
            <v>254</v>
          </cell>
          <cell r="D160" t="str">
            <v>-  2/C - 35 SQ.MM. 0.6/1KV.CV</v>
          </cell>
          <cell r="E160">
            <v>166</v>
          </cell>
          <cell r="F160">
            <v>30</v>
          </cell>
          <cell r="G160" t="str">
            <v>M.</v>
          </cell>
        </row>
        <row r="161">
          <cell r="C161">
            <v>255</v>
          </cell>
          <cell r="D161" t="str">
            <v>-  2/C - 50 SQ.MM. 0.6/1KV.CV</v>
          </cell>
          <cell r="E161">
            <v>228</v>
          </cell>
          <cell r="F161">
            <v>35</v>
          </cell>
          <cell r="G161" t="str">
            <v>M.</v>
          </cell>
        </row>
        <row r="162">
          <cell r="C162">
            <v>256</v>
          </cell>
          <cell r="D162" t="str">
            <v>-  2/C - 70 SQ.MM. 0.6/1KV.CV</v>
          </cell>
          <cell r="E162">
            <v>315</v>
          </cell>
          <cell r="F162">
            <v>40</v>
          </cell>
          <cell r="G162" t="str">
            <v>M.</v>
          </cell>
        </row>
        <row r="163">
          <cell r="C163">
            <v>257</v>
          </cell>
          <cell r="D163" t="str">
            <v>-  2/C - 95 SQ.MM. 0.6/1KV.CV</v>
          </cell>
          <cell r="E163">
            <v>422</v>
          </cell>
          <cell r="F163">
            <v>60</v>
          </cell>
          <cell r="G163" t="str">
            <v>M.</v>
          </cell>
        </row>
        <row r="164">
          <cell r="C164">
            <v>258</v>
          </cell>
          <cell r="D164" t="str">
            <v>-  2/C - 120 SQ.MM. 0.6/1KV.CV</v>
          </cell>
          <cell r="E164">
            <v>530</v>
          </cell>
          <cell r="F164">
            <v>70</v>
          </cell>
          <cell r="G164" t="str">
            <v>M.</v>
          </cell>
        </row>
        <row r="165">
          <cell r="C165">
            <v>259</v>
          </cell>
          <cell r="D165" t="str">
            <v>-  2/C - 150 SQ.MM. 0.6/1KV.CV</v>
          </cell>
          <cell r="E165">
            <v>648</v>
          </cell>
          <cell r="F165">
            <v>75</v>
          </cell>
          <cell r="G165" t="str">
            <v>M.</v>
          </cell>
        </row>
        <row r="166">
          <cell r="C166">
            <v>260</v>
          </cell>
          <cell r="D166" t="str">
            <v>-  2/C - 185 SQ.MM. 0.6/1KV.CV</v>
          </cell>
          <cell r="E166">
            <v>806</v>
          </cell>
          <cell r="F166">
            <v>80</v>
          </cell>
          <cell r="G166" t="str">
            <v>M.</v>
          </cell>
        </row>
        <row r="167">
          <cell r="C167">
            <v>261</v>
          </cell>
          <cell r="D167" t="str">
            <v>-  2/C - 240 SQ.MM. 0.6/1KV.CV</v>
          </cell>
          <cell r="E167">
            <v>1051</v>
          </cell>
          <cell r="F167">
            <v>85</v>
          </cell>
          <cell r="G167" t="str">
            <v>M.</v>
          </cell>
        </row>
        <row r="168">
          <cell r="C168">
            <v>262</v>
          </cell>
          <cell r="D168" t="str">
            <v>-  2/C - 300 SQ.MM. 0.6/1KV.CV</v>
          </cell>
          <cell r="E168">
            <v>1302</v>
          </cell>
          <cell r="F168">
            <v>90</v>
          </cell>
          <cell r="G168" t="str">
            <v>M.</v>
          </cell>
        </row>
        <row r="169">
          <cell r="C169">
            <v>263</v>
          </cell>
          <cell r="D169" t="str">
            <v>-  2/C - 400 SQ.MM. 0.6/1KV.CV</v>
          </cell>
          <cell r="E169">
            <v>1642</v>
          </cell>
          <cell r="F169">
            <v>100</v>
          </cell>
          <cell r="G169" t="str">
            <v>M.</v>
          </cell>
        </row>
        <row r="170">
          <cell r="C170">
            <v>264</v>
          </cell>
          <cell r="D170" t="str">
            <v>-  4/C - 2.5 SQ.MM. 0.6/1KV.CV</v>
          </cell>
          <cell r="E170">
            <v>45</v>
          </cell>
          <cell r="F170">
            <v>25</v>
          </cell>
          <cell r="G170" t="str">
            <v>M.</v>
          </cell>
        </row>
        <row r="171">
          <cell r="C171">
            <v>265</v>
          </cell>
          <cell r="D171" t="str">
            <v>-  4/C - 4 SQ.MM. 0.6/1KV.CV</v>
          </cell>
          <cell r="E171">
            <v>59</v>
          </cell>
          <cell r="F171">
            <v>30</v>
          </cell>
          <cell r="G171" t="str">
            <v>M.</v>
          </cell>
        </row>
        <row r="172">
          <cell r="C172">
            <v>266</v>
          </cell>
          <cell r="D172" t="str">
            <v>-  4/C - 6 SQ.MM. 0.6/1KV.CV</v>
          </cell>
          <cell r="E172">
            <v>78</v>
          </cell>
          <cell r="F172">
            <v>35</v>
          </cell>
          <cell r="G172" t="str">
            <v>M.</v>
          </cell>
        </row>
        <row r="173">
          <cell r="C173">
            <v>267</v>
          </cell>
          <cell r="D173" t="str">
            <v>-  4/C - 10 SQ.MM. 0.6/1KV.CV</v>
          </cell>
          <cell r="E173">
            <v>106</v>
          </cell>
          <cell r="F173">
            <v>40</v>
          </cell>
          <cell r="G173" t="str">
            <v>M.</v>
          </cell>
        </row>
        <row r="174">
          <cell r="C174">
            <v>268</v>
          </cell>
          <cell r="D174" t="str">
            <v>-  4/C - 16 SQ.MM. 0.6/1KV.CV</v>
          </cell>
          <cell r="E174">
            <v>155</v>
          </cell>
          <cell r="F174">
            <v>60</v>
          </cell>
          <cell r="G174" t="str">
            <v>M.</v>
          </cell>
        </row>
        <row r="175">
          <cell r="C175">
            <v>269</v>
          </cell>
          <cell r="D175" t="str">
            <v>-  4/C - 25 SQ.MM. 0.6/1KV.CV</v>
          </cell>
          <cell r="E175">
            <v>131</v>
          </cell>
          <cell r="F175">
            <v>70</v>
          </cell>
          <cell r="G175" t="str">
            <v>M.</v>
          </cell>
        </row>
        <row r="176">
          <cell r="C176">
            <v>270</v>
          </cell>
          <cell r="D176" t="str">
            <v>-  4/C - 35 SQ.MM. 0.6/1KV.CV</v>
          </cell>
          <cell r="E176">
            <v>304</v>
          </cell>
          <cell r="F176">
            <v>75</v>
          </cell>
          <cell r="G176" t="str">
            <v>M.</v>
          </cell>
        </row>
        <row r="177">
          <cell r="C177">
            <v>271</v>
          </cell>
          <cell r="D177" t="str">
            <v>-  4/C - 50 SQ.MM. 0.6/1KV.CV</v>
          </cell>
          <cell r="E177">
            <v>420</v>
          </cell>
          <cell r="F177">
            <v>80</v>
          </cell>
          <cell r="G177" t="str">
            <v>M.</v>
          </cell>
        </row>
        <row r="178">
          <cell r="C178">
            <v>272</v>
          </cell>
          <cell r="D178" t="str">
            <v>-  4/C - 70 SQ.MM. 0.6/1KV.CV</v>
          </cell>
          <cell r="E178">
            <v>586</v>
          </cell>
          <cell r="F178">
            <v>85</v>
          </cell>
          <cell r="G178" t="str">
            <v>M.</v>
          </cell>
        </row>
        <row r="179">
          <cell r="C179">
            <v>273</v>
          </cell>
          <cell r="D179" t="str">
            <v>-  4/C - 95 SQ.MM. 0.6/1KV.CV</v>
          </cell>
          <cell r="E179">
            <v>791</v>
          </cell>
          <cell r="F179">
            <v>90</v>
          </cell>
          <cell r="G179" t="str">
            <v>M.</v>
          </cell>
        </row>
        <row r="180">
          <cell r="C180">
            <v>274</v>
          </cell>
          <cell r="D180" t="str">
            <v>-  4/C - 120 SQ.MM. 0.6/1KV.CV</v>
          </cell>
          <cell r="E180">
            <v>1000</v>
          </cell>
          <cell r="F180">
            <v>100</v>
          </cell>
          <cell r="G180" t="str">
            <v>M.</v>
          </cell>
        </row>
        <row r="181">
          <cell r="C181">
            <v>275</v>
          </cell>
          <cell r="D181" t="str">
            <v>-  4/C - 150 SQ.MM. 0.6/1KV.CV</v>
          </cell>
          <cell r="E181">
            <v>1220</v>
          </cell>
          <cell r="F181">
            <v>110</v>
          </cell>
          <cell r="G181" t="str">
            <v>M.</v>
          </cell>
        </row>
        <row r="182">
          <cell r="C182">
            <v>276</v>
          </cell>
          <cell r="D182" t="str">
            <v>-  4/C - 185 SQ.MM. 0.6/1KV.CV</v>
          </cell>
          <cell r="E182">
            <v>1524</v>
          </cell>
          <cell r="F182">
            <v>120</v>
          </cell>
          <cell r="G182" t="str">
            <v>M.</v>
          </cell>
        </row>
        <row r="183">
          <cell r="C183">
            <v>277</v>
          </cell>
          <cell r="D183" t="str">
            <v>-  4/C - 240 SQ.MM. 0.6/1KV.CV</v>
          </cell>
          <cell r="E183">
            <v>1992</v>
          </cell>
          <cell r="F183">
            <v>130</v>
          </cell>
          <cell r="G183" t="str">
            <v>M.</v>
          </cell>
        </row>
        <row r="184">
          <cell r="C184">
            <v>278</v>
          </cell>
          <cell r="D184" t="str">
            <v>-  4/C - 300 SQ.MM. 0.6/1KV.CV</v>
          </cell>
          <cell r="E184">
            <v>2482</v>
          </cell>
          <cell r="F184">
            <v>140</v>
          </cell>
          <cell r="G184" t="str">
            <v>M.</v>
          </cell>
        </row>
        <row r="185">
          <cell r="C185">
            <v>279</v>
          </cell>
          <cell r="D185" t="str">
            <v>-  4/C - 400 SQ.MM. 0.6/1KV.CV</v>
          </cell>
          <cell r="E185">
            <v>3135</v>
          </cell>
          <cell r="F185">
            <v>160</v>
          </cell>
          <cell r="G185" t="str">
            <v>M.</v>
          </cell>
        </row>
        <row r="186">
          <cell r="C186">
            <v>337</v>
          </cell>
          <cell r="D186" t="str">
            <v>SPACE</v>
          </cell>
          <cell r="E186">
            <v>186</v>
          </cell>
          <cell r="F186">
            <v>10</v>
          </cell>
          <cell r="G186" t="str">
            <v>M.</v>
          </cell>
        </row>
        <row r="187">
          <cell r="C187">
            <v>281</v>
          </cell>
          <cell r="D187" t="str">
            <v>-  6 SQ.MM. THWA</v>
          </cell>
          <cell r="E187">
            <v>0</v>
          </cell>
          <cell r="F187">
            <v>0</v>
          </cell>
          <cell r="G187" t="str">
            <v>M.</v>
          </cell>
        </row>
        <row r="188">
          <cell r="C188">
            <v>282</v>
          </cell>
          <cell r="D188" t="str">
            <v>-  10 SQ.MM. THWA</v>
          </cell>
          <cell r="E188">
            <v>7</v>
          </cell>
          <cell r="F188">
            <v>2</v>
          </cell>
          <cell r="G188" t="str">
            <v>M.</v>
          </cell>
        </row>
        <row r="189">
          <cell r="C189">
            <v>283</v>
          </cell>
          <cell r="D189" t="str">
            <v>-  16 SQ.MM. THWA</v>
          </cell>
          <cell r="E189">
            <v>8</v>
          </cell>
          <cell r="F189">
            <v>3</v>
          </cell>
          <cell r="G189" t="str">
            <v>M.</v>
          </cell>
        </row>
        <row r="190">
          <cell r="C190">
            <v>284</v>
          </cell>
          <cell r="D190" t="str">
            <v>-  25 SQ.MM. THWA</v>
          </cell>
          <cell r="E190">
            <v>12</v>
          </cell>
          <cell r="F190">
            <v>5</v>
          </cell>
          <cell r="G190" t="str">
            <v>M.</v>
          </cell>
        </row>
        <row r="191">
          <cell r="C191">
            <v>285</v>
          </cell>
          <cell r="D191" t="str">
            <v>-  35 SQ.MM. THWA</v>
          </cell>
          <cell r="E191">
            <v>15</v>
          </cell>
          <cell r="F191">
            <v>6</v>
          </cell>
          <cell r="G191" t="str">
            <v>M.</v>
          </cell>
        </row>
        <row r="192">
          <cell r="C192">
            <v>286</v>
          </cell>
          <cell r="D192" t="str">
            <v>-  50 SQ.MM. THWA</v>
          </cell>
          <cell r="E192">
            <v>21</v>
          </cell>
          <cell r="F192">
            <v>7</v>
          </cell>
          <cell r="G192" t="str">
            <v>M.</v>
          </cell>
        </row>
        <row r="193">
          <cell r="C193">
            <v>287</v>
          </cell>
          <cell r="D193" t="str">
            <v>-  70 SQ.MM. THWA</v>
          </cell>
          <cell r="E193">
            <v>29</v>
          </cell>
          <cell r="F193">
            <v>8</v>
          </cell>
          <cell r="G193" t="str">
            <v>M.</v>
          </cell>
        </row>
        <row r="194">
          <cell r="C194">
            <v>288</v>
          </cell>
          <cell r="D194" t="str">
            <v>-  90 SQ.MM. THWA</v>
          </cell>
          <cell r="E194">
            <v>39</v>
          </cell>
          <cell r="F194">
            <v>10</v>
          </cell>
          <cell r="G194" t="str">
            <v>M.</v>
          </cell>
        </row>
        <row r="195">
          <cell r="C195">
            <v>289</v>
          </cell>
          <cell r="D195" t="str">
            <v>-  120 SQ.MM. THWA</v>
          </cell>
          <cell r="E195">
            <v>47</v>
          </cell>
          <cell r="F195">
            <v>12</v>
          </cell>
          <cell r="G195" t="str">
            <v>M.</v>
          </cell>
        </row>
        <row r="196">
          <cell r="C196">
            <v>290</v>
          </cell>
          <cell r="D196" t="str">
            <v>-  150 SQ.MM. THWA</v>
          </cell>
          <cell r="E196">
            <v>59</v>
          </cell>
          <cell r="F196">
            <v>14</v>
          </cell>
          <cell r="G196" t="str">
            <v>M.</v>
          </cell>
        </row>
        <row r="197">
          <cell r="C197">
            <v>291</v>
          </cell>
          <cell r="D197" t="str">
            <v>-  185 SQ.MM. THWA</v>
          </cell>
          <cell r="E197">
            <v>72</v>
          </cell>
          <cell r="F197">
            <v>16</v>
          </cell>
          <cell r="G197" t="str">
            <v>M.</v>
          </cell>
        </row>
        <row r="198">
          <cell r="C198">
            <v>292</v>
          </cell>
          <cell r="D198" t="str">
            <v>-  240 SQ.MM. THWA</v>
          </cell>
          <cell r="E198">
            <v>96</v>
          </cell>
          <cell r="F198">
            <v>20</v>
          </cell>
          <cell r="G198" t="str">
            <v>M.</v>
          </cell>
        </row>
        <row r="199">
          <cell r="C199">
            <v>293</v>
          </cell>
          <cell r="D199" t="str">
            <v>-  300 SQ.MM. THWA</v>
          </cell>
          <cell r="E199">
            <v>125</v>
          </cell>
          <cell r="F199">
            <v>25</v>
          </cell>
          <cell r="G199" t="str">
            <v>M.</v>
          </cell>
        </row>
        <row r="200">
          <cell r="C200">
            <v>294</v>
          </cell>
          <cell r="D200" t="str">
            <v>-  6 SQ.MM. BARE COPPER</v>
          </cell>
          <cell r="E200">
            <v>12</v>
          </cell>
          <cell r="F200">
            <v>2</v>
          </cell>
          <cell r="G200" t="str">
            <v>M.</v>
          </cell>
        </row>
        <row r="201">
          <cell r="C201">
            <v>295</v>
          </cell>
          <cell r="D201" t="str">
            <v>-  10 SQ.MM. BARE COPPER</v>
          </cell>
          <cell r="E201">
            <v>15</v>
          </cell>
          <cell r="F201">
            <v>3</v>
          </cell>
          <cell r="G201" t="str">
            <v>M.</v>
          </cell>
        </row>
        <row r="202">
          <cell r="C202">
            <v>296</v>
          </cell>
          <cell r="D202" t="str">
            <v>-  16 SQ.MM. BARE COPPER</v>
          </cell>
          <cell r="E202">
            <v>28</v>
          </cell>
          <cell r="F202">
            <v>5</v>
          </cell>
          <cell r="G202" t="str">
            <v>M.</v>
          </cell>
        </row>
        <row r="203">
          <cell r="C203">
            <v>297</v>
          </cell>
          <cell r="D203" t="str">
            <v>-  25 SQ.MM. BARE COPPER</v>
          </cell>
          <cell r="E203">
            <v>38</v>
          </cell>
          <cell r="F203">
            <v>6</v>
          </cell>
          <cell r="G203" t="str">
            <v>M.</v>
          </cell>
        </row>
        <row r="204">
          <cell r="C204">
            <v>298</v>
          </cell>
          <cell r="D204" t="str">
            <v>-  35 SQ.MM. BARE COPPER</v>
          </cell>
          <cell r="E204">
            <v>55</v>
          </cell>
          <cell r="F204">
            <v>8</v>
          </cell>
          <cell r="G204" t="str">
            <v>M.</v>
          </cell>
        </row>
        <row r="205">
          <cell r="C205">
            <v>299</v>
          </cell>
          <cell r="D205" t="str">
            <v>-  50 SQ.MM. BARE COPPER</v>
          </cell>
          <cell r="E205">
            <v>74</v>
          </cell>
          <cell r="F205">
            <v>11</v>
          </cell>
          <cell r="G205" t="str">
            <v>M.</v>
          </cell>
        </row>
        <row r="206">
          <cell r="C206">
            <v>300</v>
          </cell>
          <cell r="D206" t="str">
            <v>-  70 SQ.MM. BARE COPPER</v>
          </cell>
          <cell r="E206">
            <v>98</v>
          </cell>
          <cell r="F206">
            <v>16</v>
          </cell>
          <cell r="G206" t="str">
            <v>M.</v>
          </cell>
        </row>
        <row r="207">
          <cell r="C207">
            <v>301</v>
          </cell>
          <cell r="D207" t="str">
            <v>-  95 SQ.MM. BARE COPPER</v>
          </cell>
          <cell r="E207">
            <v>140</v>
          </cell>
          <cell r="F207">
            <v>20</v>
          </cell>
          <cell r="G207" t="str">
            <v>M.</v>
          </cell>
        </row>
        <row r="208">
          <cell r="C208">
            <v>302</v>
          </cell>
          <cell r="D208" t="str">
            <v>-  120 SQ.MM. BARE COPPER</v>
          </cell>
          <cell r="E208">
            <v>180</v>
          </cell>
          <cell r="F208">
            <v>25</v>
          </cell>
          <cell r="G208" t="str">
            <v>M.</v>
          </cell>
        </row>
        <row r="209">
          <cell r="C209">
            <v>303</v>
          </cell>
          <cell r="D209" t="str">
            <v>-  150 SQ.MM. BARE COPPER</v>
          </cell>
          <cell r="E209">
            <v>210</v>
          </cell>
          <cell r="F209">
            <v>30</v>
          </cell>
          <cell r="G209" t="str">
            <v>M.</v>
          </cell>
        </row>
        <row r="210">
          <cell r="C210">
            <v>304</v>
          </cell>
          <cell r="D210" t="str">
            <v>-  185 SQ.MM. BARE COPPER</v>
          </cell>
          <cell r="E210">
            <v>280</v>
          </cell>
          <cell r="F210">
            <v>35</v>
          </cell>
          <cell r="G210" t="str">
            <v>M.</v>
          </cell>
        </row>
        <row r="211">
          <cell r="C211">
            <v>3</v>
          </cell>
          <cell r="D211" t="str">
            <v>HIGH VOLTAGE CABLE</v>
          </cell>
          <cell r="E211">
            <v>771</v>
          </cell>
          <cell r="F211">
            <v>58</v>
          </cell>
          <cell r="G211" t="str">
            <v>M.</v>
          </cell>
        </row>
        <row r="212">
          <cell r="C212">
            <v>311</v>
          </cell>
          <cell r="D212" t="str">
            <v>-  1/C - 35 SQ.MM. 12/20(24) KVCV</v>
          </cell>
          <cell r="E212">
            <v>251</v>
          </cell>
          <cell r="F212">
            <v>35</v>
          </cell>
          <cell r="G212" t="str">
            <v>M.</v>
          </cell>
        </row>
        <row r="213">
          <cell r="C213">
            <v>312</v>
          </cell>
          <cell r="D213" t="str">
            <v>-  1/C - 50 SQ.MM. 12/20(24) KVCV</v>
          </cell>
          <cell r="E213">
            <v>271</v>
          </cell>
          <cell r="F213">
            <v>40</v>
          </cell>
          <cell r="G213" t="str">
            <v>M.</v>
          </cell>
        </row>
        <row r="214">
          <cell r="C214">
            <v>313</v>
          </cell>
          <cell r="D214" t="str">
            <v>-  1/C - 70 SQ.MM. 12/20(24) KVCV</v>
          </cell>
          <cell r="E214">
            <v>317</v>
          </cell>
          <cell r="F214">
            <v>60</v>
          </cell>
          <cell r="G214" t="str">
            <v>M.</v>
          </cell>
        </row>
        <row r="215">
          <cell r="C215">
            <v>314</v>
          </cell>
          <cell r="D215" t="str">
            <v>-  1/C - 95 SQ.MM. 12/20(24) KVCV</v>
          </cell>
          <cell r="E215">
            <v>383</v>
          </cell>
          <cell r="F215">
            <v>70</v>
          </cell>
          <cell r="G215" t="str">
            <v>M.</v>
          </cell>
        </row>
        <row r="216">
          <cell r="C216">
            <v>315</v>
          </cell>
          <cell r="D216" t="str">
            <v>-  1/C - 120 SQ.MM. 12/20(24) KVCV</v>
          </cell>
          <cell r="E216">
            <v>473</v>
          </cell>
          <cell r="F216">
            <v>75</v>
          </cell>
          <cell r="G216" t="str">
            <v>M.</v>
          </cell>
        </row>
        <row r="217">
          <cell r="C217">
            <v>316</v>
          </cell>
          <cell r="D217" t="str">
            <v>-  1/C - 150 SQ.MM. 12/20(24) KVCV</v>
          </cell>
          <cell r="E217">
            <v>542</v>
          </cell>
          <cell r="F217">
            <v>80</v>
          </cell>
          <cell r="G217" t="str">
            <v>M.</v>
          </cell>
        </row>
        <row r="218">
          <cell r="C218">
            <v>317</v>
          </cell>
          <cell r="D218" t="str">
            <v>-  1/C - 185 SQ.MM. 12/20(24) KVCV</v>
          </cell>
          <cell r="E218">
            <v>632</v>
          </cell>
          <cell r="F218">
            <v>85</v>
          </cell>
          <cell r="G218" t="str">
            <v>M.</v>
          </cell>
        </row>
        <row r="219">
          <cell r="C219">
            <v>318</v>
          </cell>
          <cell r="D219" t="str">
            <v>-  1/C - 240 SQ.MM. 12/20(24) KVCV</v>
          </cell>
          <cell r="E219">
            <v>776</v>
          </cell>
          <cell r="F219">
            <v>90</v>
          </cell>
          <cell r="G219" t="str">
            <v>M.</v>
          </cell>
        </row>
        <row r="220">
          <cell r="C220">
            <v>319</v>
          </cell>
          <cell r="D220" t="str">
            <v>-  1/C - 300 SQ.MM. 12/20(24) KVCV</v>
          </cell>
          <cell r="E220">
            <v>930</v>
          </cell>
          <cell r="F220">
            <v>100</v>
          </cell>
          <cell r="G220" t="str">
            <v>M.</v>
          </cell>
        </row>
        <row r="221">
          <cell r="C221">
            <v>320</v>
          </cell>
          <cell r="D221" t="str">
            <v>-  1/C - 400 SQ.MM. 12/20(24) KVCV</v>
          </cell>
          <cell r="E221">
            <v>1120</v>
          </cell>
          <cell r="F221">
            <v>110</v>
          </cell>
          <cell r="G221" t="str">
            <v>M.</v>
          </cell>
        </row>
        <row r="222">
          <cell r="C222">
            <v>321</v>
          </cell>
          <cell r="D222" t="str">
            <v>-  3/C - 35 SQ.MM. 12/20(24) KVCV</v>
          </cell>
          <cell r="E222">
            <v>829</v>
          </cell>
          <cell r="F222">
            <v>85</v>
          </cell>
          <cell r="G222" t="str">
            <v>M.</v>
          </cell>
        </row>
        <row r="223">
          <cell r="C223">
            <v>322</v>
          </cell>
          <cell r="D223" t="str">
            <v>-  3/C - 50 SQ.MM. 12/20(24) KVCV</v>
          </cell>
          <cell r="E223">
            <v>897</v>
          </cell>
          <cell r="F223">
            <v>90</v>
          </cell>
          <cell r="G223" t="str">
            <v>M.</v>
          </cell>
        </row>
        <row r="224">
          <cell r="C224">
            <v>323</v>
          </cell>
          <cell r="D224" t="str">
            <v>-  3/C - 70 SQ.MM. 12/20(24) KVCV</v>
          </cell>
          <cell r="E224">
            <v>1050</v>
          </cell>
          <cell r="F224">
            <v>100</v>
          </cell>
          <cell r="G224" t="str">
            <v>M.</v>
          </cell>
        </row>
        <row r="225">
          <cell r="C225">
            <v>324</v>
          </cell>
          <cell r="D225" t="str">
            <v>-  3/C - 95 SQ.MM. 12/20(24) KVCV</v>
          </cell>
          <cell r="E225">
            <v>1258</v>
          </cell>
          <cell r="F225">
            <v>110</v>
          </cell>
          <cell r="G225" t="str">
            <v>M.</v>
          </cell>
        </row>
        <row r="226">
          <cell r="C226">
            <v>325</v>
          </cell>
          <cell r="D226" t="str">
            <v>-  3/C - 120 SQ.MM. 12/20(24) KVCV</v>
          </cell>
          <cell r="E226">
            <v>1613</v>
          </cell>
          <cell r="F226">
            <v>120</v>
          </cell>
          <cell r="G226" t="str">
            <v>M.</v>
          </cell>
        </row>
        <row r="227">
          <cell r="C227">
            <v>326</v>
          </cell>
          <cell r="D227" t="str">
            <v>-  3/C - 150 SQ.MM. 12/20(24) KVCV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327</v>
          </cell>
          <cell r="D228" t="str">
            <v>-  3/C - 185 SQ.MM. 12/20(24) KVCV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328</v>
          </cell>
          <cell r="D229" t="str">
            <v>-  3/C - 240 SQ.MM. 12/20(24) KVCV</v>
          </cell>
          <cell r="E229">
            <v>2566</v>
          </cell>
          <cell r="F229">
            <v>160</v>
          </cell>
          <cell r="G229" t="str">
            <v>M.</v>
          </cell>
        </row>
        <row r="230">
          <cell r="C230">
            <v>329</v>
          </cell>
          <cell r="D230" t="str">
            <v>-  3/C - 300 SQ.MM. 12/20(24) KVCV</v>
          </cell>
          <cell r="E230">
            <v>3084</v>
          </cell>
          <cell r="F230">
            <v>180</v>
          </cell>
          <cell r="G230" t="str">
            <v>M.</v>
          </cell>
        </row>
        <row r="231">
          <cell r="C231">
            <v>330</v>
          </cell>
          <cell r="D231" t="str">
            <v>-  3/C - 400 SQ.MM. 12/20(24) KVCV</v>
          </cell>
          <cell r="E231">
            <v>3712</v>
          </cell>
          <cell r="F231">
            <v>200</v>
          </cell>
          <cell r="G231" t="str">
            <v>M.</v>
          </cell>
        </row>
        <row r="232">
          <cell r="C232">
            <v>331</v>
          </cell>
          <cell r="D232" t="str">
            <v>-  1/C - 35 SQ.MM. 18/30(36) KVCV</v>
          </cell>
          <cell r="E232">
            <v>260</v>
          </cell>
          <cell r="F232">
            <v>60</v>
          </cell>
          <cell r="G232" t="str">
            <v>M.</v>
          </cell>
        </row>
        <row r="233">
          <cell r="C233">
            <v>332</v>
          </cell>
          <cell r="D233" t="str">
            <v>-  1/C - 50 SQ.MM. 18/30(36) KVCV</v>
          </cell>
          <cell r="E233">
            <v>281</v>
          </cell>
          <cell r="F233">
            <v>70</v>
          </cell>
          <cell r="G233" t="str">
            <v>M.</v>
          </cell>
        </row>
        <row r="234">
          <cell r="C234">
            <v>333</v>
          </cell>
          <cell r="D234" t="str">
            <v>-  1/C - 70 SQ.MM. 18/30(36) KVCV</v>
          </cell>
          <cell r="E234">
            <v>325</v>
          </cell>
          <cell r="F234">
            <v>75</v>
          </cell>
          <cell r="G234" t="str">
            <v>M.</v>
          </cell>
        </row>
        <row r="235">
          <cell r="C235">
            <v>334</v>
          </cell>
          <cell r="D235" t="str">
            <v>-  1/C - 95 SQ.MM. 18/30(36) KVCV</v>
          </cell>
          <cell r="E235">
            <v>396</v>
          </cell>
          <cell r="F235">
            <v>80</v>
          </cell>
          <cell r="G235" t="str">
            <v>M.</v>
          </cell>
        </row>
        <row r="236">
          <cell r="C236">
            <v>335</v>
          </cell>
          <cell r="D236" t="str">
            <v>-  1/C - 120 SQ.MM. 18/30(36) KVCV</v>
          </cell>
          <cell r="E236">
            <v>490</v>
          </cell>
          <cell r="F236">
            <v>85</v>
          </cell>
          <cell r="G236" t="str">
            <v>M.</v>
          </cell>
        </row>
        <row r="237">
          <cell r="C237">
            <v>336</v>
          </cell>
          <cell r="D237" t="str">
            <v>-  1/C - 150 SQ.MM. 18/30(36) KVCV</v>
          </cell>
          <cell r="E237">
            <v>560</v>
          </cell>
          <cell r="F237">
            <v>90</v>
          </cell>
          <cell r="G237" t="str">
            <v>M.</v>
          </cell>
        </row>
        <row r="238">
          <cell r="C238">
            <v>337</v>
          </cell>
          <cell r="D238" t="str">
            <v>-  1/C - 185 SQ.MM. 18/30(36) KVCV</v>
          </cell>
          <cell r="E238">
            <v>654</v>
          </cell>
          <cell r="F238">
            <v>100</v>
          </cell>
          <cell r="G238" t="str">
            <v>M.</v>
          </cell>
        </row>
        <row r="239">
          <cell r="C239">
            <v>338</v>
          </cell>
          <cell r="D239" t="str">
            <v>-  1/C - 240 SQ.MM. 18/30(36) KVCV</v>
          </cell>
          <cell r="E239">
            <v>802</v>
          </cell>
          <cell r="F239">
            <v>110</v>
          </cell>
          <cell r="G239" t="str">
            <v>M.</v>
          </cell>
        </row>
        <row r="240">
          <cell r="C240">
            <v>339</v>
          </cell>
          <cell r="D240" t="str">
            <v>-  1/C - 300 SQ.MM. 18/30(36) KVCV</v>
          </cell>
          <cell r="E240">
            <v>962</v>
          </cell>
          <cell r="F240">
            <v>130</v>
          </cell>
          <cell r="G240" t="str">
            <v>M.</v>
          </cell>
        </row>
        <row r="241">
          <cell r="C241">
            <v>340</v>
          </cell>
          <cell r="D241" t="str">
            <v>-  1/C - 400 SQ.MM. 18/30(36) KVCV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341</v>
          </cell>
          <cell r="D242" t="str">
            <v>-  3/C - 50 SQ.MM. 18/30(36) KVCV</v>
          </cell>
          <cell r="E242">
            <v>930</v>
          </cell>
          <cell r="F242">
            <v>100</v>
          </cell>
          <cell r="G242" t="str">
            <v>M.</v>
          </cell>
        </row>
        <row r="243">
          <cell r="C243">
            <v>342</v>
          </cell>
          <cell r="D243" t="str">
            <v>-  3/C - 70 SQ.MM. 18/30(36) KVCV</v>
          </cell>
          <cell r="E243">
            <v>1088</v>
          </cell>
          <cell r="F243">
            <v>110</v>
          </cell>
          <cell r="G243" t="str">
            <v>M.</v>
          </cell>
        </row>
        <row r="244">
          <cell r="C244">
            <v>343</v>
          </cell>
          <cell r="D244" t="str">
            <v>-  3/C - 95 SQ.MM. 18/30(36) KVCV</v>
          </cell>
          <cell r="E244">
            <v>1303</v>
          </cell>
          <cell r="F244">
            <v>130</v>
          </cell>
          <cell r="G244" t="str">
            <v>M.</v>
          </cell>
        </row>
        <row r="245">
          <cell r="C245">
            <v>344</v>
          </cell>
          <cell r="D245" t="str">
            <v>-  3/C - 120 SQ.MM. 18/30(36) KVCV</v>
          </cell>
          <cell r="E245">
            <v>1670</v>
          </cell>
          <cell r="F245">
            <v>150</v>
          </cell>
          <cell r="G245" t="str">
            <v>M.</v>
          </cell>
        </row>
        <row r="246">
          <cell r="C246">
            <v>345</v>
          </cell>
          <cell r="D246" t="str">
            <v>-  3/C - 150 SQ.MM. 18/30(36) KVCV</v>
          </cell>
          <cell r="E246">
            <v>1897</v>
          </cell>
          <cell r="F246">
            <v>170</v>
          </cell>
          <cell r="G246" t="str">
            <v>M.</v>
          </cell>
        </row>
        <row r="247">
          <cell r="C247">
            <v>346</v>
          </cell>
          <cell r="D247" t="str">
            <v>-  3/C - 185 SQ.MM. 18/30(36) KVCV</v>
          </cell>
          <cell r="E247">
            <v>2206</v>
          </cell>
          <cell r="F247">
            <v>180</v>
          </cell>
          <cell r="G247" t="str">
            <v>M.</v>
          </cell>
        </row>
        <row r="248">
          <cell r="C248">
            <v>347</v>
          </cell>
          <cell r="D248" t="str">
            <v>-  3/C - 240 SQ.MM. 18/30(36) KVCV</v>
          </cell>
          <cell r="E248">
            <v>2660</v>
          </cell>
          <cell r="F248">
            <v>200</v>
          </cell>
          <cell r="G248" t="str">
            <v>M.</v>
          </cell>
        </row>
        <row r="249">
          <cell r="C249">
            <v>348</v>
          </cell>
          <cell r="D249" t="str">
            <v>-  3/C - 300 SQ.MM. 18/30(36) KVCV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349</v>
          </cell>
          <cell r="D250" t="str">
            <v>-  3/C - 400 SQ.MM. 18/30(36) KVCV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SPACE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351</v>
          </cell>
          <cell r="D252" t="str">
            <v>-  1/C - 25 SQ.MM. 25 KV.XLPE</v>
          </cell>
          <cell r="E252">
            <v>0</v>
          </cell>
          <cell r="F252">
            <v>0</v>
          </cell>
          <cell r="G252" t="str">
            <v>M.</v>
          </cell>
        </row>
        <row r="253">
          <cell r="C253">
            <v>352</v>
          </cell>
          <cell r="D253" t="str">
            <v>-  1/C - 35 SQ.MM. 25 KV.XLPE</v>
          </cell>
          <cell r="E253">
            <v>305</v>
          </cell>
          <cell r="F253">
            <v>35</v>
          </cell>
          <cell r="G253" t="str">
            <v>M.</v>
          </cell>
        </row>
        <row r="254">
          <cell r="C254">
            <v>353</v>
          </cell>
          <cell r="D254" t="str">
            <v>-  1/C - 50 SQ.MM. 25 KV.XLPE</v>
          </cell>
          <cell r="E254">
            <v>345</v>
          </cell>
          <cell r="F254">
            <v>40</v>
          </cell>
          <cell r="G254" t="str">
            <v>M.</v>
          </cell>
        </row>
        <row r="255">
          <cell r="C255">
            <v>354</v>
          </cell>
          <cell r="D255" t="str">
            <v>-  1/C - 70 SQ.MM. 25 KV.XLPE</v>
          </cell>
          <cell r="E255">
            <v>415</v>
          </cell>
          <cell r="F255">
            <v>60</v>
          </cell>
          <cell r="G255" t="str">
            <v>M.</v>
          </cell>
        </row>
        <row r="256">
          <cell r="C256">
            <v>355</v>
          </cell>
          <cell r="D256" t="str">
            <v>-  1/C - 95 SQ.MM. 25 KV.XLPE</v>
          </cell>
          <cell r="E256">
            <v>515</v>
          </cell>
          <cell r="F256">
            <v>70</v>
          </cell>
          <cell r="G256" t="str">
            <v>M.</v>
          </cell>
        </row>
        <row r="257">
          <cell r="C257">
            <v>356</v>
          </cell>
          <cell r="D257" t="str">
            <v>-  1/C - 120 SQ.MM. 25 KV.XLPE</v>
          </cell>
          <cell r="E257">
            <v>605</v>
          </cell>
          <cell r="F257">
            <v>75</v>
          </cell>
          <cell r="G257" t="str">
            <v>M.</v>
          </cell>
        </row>
        <row r="258">
          <cell r="C258">
            <v>357</v>
          </cell>
          <cell r="D258" t="str">
            <v>-  1/C - 150 SQ.MM. 25 KV.XLPE</v>
          </cell>
          <cell r="E258">
            <v>705</v>
          </cell>
          <cell r="F258">
            <v>80</v>
          </cell>
          <cell r="G258" t="str">
            <v>M.</v>
          </cell>
        </row>
        <row r="259">
          <cell r="C259">
            <v>358</v>
          </cell>
          <cell r="D259" t="str">
            <v>-  1/C - 185 SQ.MM. 25 KV.XLPE</v>
          </cell>
          <cell r="E259">
            <v>835</v>
          </cell>
          <cell r="F259">
            <v>85</v>
          </cell>
          <cell r="G259" t="str">
            <v>M.</v>
          </cell>
        </row>
        <row r="260">
          <cell r="C260">
            <v>359</v>
          </cell>
          <cell r="D260" t="str">
            <v>-  1/C - 240 SQ.MM. 25 KV.XLPE</v>
          </cell>
          <cell r="E260">
            <v>995</v>
          </cell>
          <cell r="F260">
            <v>90</v>
          </cell>
          <cell r="G260" t="str">
            <v>M.</v>
          </cell>
        </row>
        <row r="261">
          <cell r="C261">
            <v>360</v>
          </cell>
          <cell r="D261" t="str">
            <v>-  1/C - 35 SQ.MM. 35 KV.XLPE</v>
          </cell>
          <cell r="E261">
            <v>0</v>
          </cell>
          <cell r="F261">
            <v>60</v>
          </cell>
          <cell r="G261" t="str">
            <v>M.</v>
          </cell>
        </row>
        <row r="262">
          <cell r="C262">
            <v>361</v>
          </cell>
          <cell r="D262" t="str">
            <v>-  1/C - 50 SQ.MM. 35 KV.XLPE</v>
          </cell>
          <cell r="E262">
            <v>0</v>
          </cell>
          <cell r="F262">
            <v>70</v>
          </cell>
          <cell r="G262" t="str">
            <v>M.</v>
          </cell>
        </row>
        <row r="263">
          <cell r="C263">
            <v>362</v>
          </cell>
          <cell r="D263" t="str">
            <v>-  1/C - 70 SQ.MM. 35 KV.XLPE</v>
          </cell>
          <cell r="E263">
            <v>0</v>
          </cell>
          <cell r="F263">
            <v>75</v>
          </cell>
          <cell r="G263" t="str">
            <v>M.</v>
          </cell>
        </row>
        <row r="264">
          <cell r="C264">
            <v>363</v>
          </cell>
          <cell r="D264" t="str">
            <v>-  1/C - 95 SQ.MM. 35 KV.XLPE</v>
          </cell>
          <cell r="E264">
            <v>0</v>
          </cell>
          <cell r="F264">
            <v>80</v>
          </cell>
          <cell r="G264" t="str">
            <v>M.</v>
          </cell>
        </row>
        <row r="265">
          <cell r="C265">
            <v>364</v>
          </cell>
          <cell r="D265" t="str">
            <v>-  1/C - 120 SQ.MM. 35 KV.XLPE</v>
          </cell>
          <cell r="E265">
            <v>0</v>
          </cell>
          <cell r="F265">
            <v>85</v>
          </cell>
          <cell r="G265" t="str">
            <v>M.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5" refreshError="1"/>
      <sheetData sheetId="6" refreshError="1"/>
      <sheetData sheetId="7">
        <row r="3">
          <cell r="C3" t="str">
            <v>N0.</v>
          </cell>
        </row>
      </sheetData>
      <sheetData sheetId="8">
        <row r="3">
          <cell r="C3" t="str">
            <v>N0.</v>
          </cell>
        </row>
      </sheetData>
      <sheetData sheetId="9">
        <row r="3">
          <cell r="C3" t="str">
            <v>N0.</v>
          </cell>
        </row>
      </sheetData>
      <sheetData sheetId="10">
        <row r="3">
          <cell r="C3" t="str">
            <v>N0.</v>
          </cell>
        </row>
      </sheetData>
      <sheetData sheetId="11">
        <row r="3">
          <cell r="C3" t="str">
            <v>N0.</v>
          </cell>
        </row>
      </sheetData>
      <sheetData sheetId="12">
        <row r="3">
          <cell r="C3" t="str">
            <v>N0.</v>
          </cell>
        </row>
      </sheetData>
      <sheetData sheetId="13">
        <row r="3">
          <cell r="C3" t="str">
            <v>N0.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แผนงาน"/>
      <sheetName val="งวดงาน (3)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สารบัญ"/>
      <sheetName val="ประมาณการประตูหน้าต่าง 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Sheet1"/>
      <sheetName val="ราคา KYS เพิ่มเติม 2  "/>
      <sheetName val="ประมาณการประต_หน_าต_าง "/>
      <sheetName val="SH-A"/>
      <sheetName val="Store"/>
      <sheetName val="SH-D"/>
      <sheetName val="รายงานระยะที่_2_"/>
      <sheetName val="งานAlum__แอมโปรเทค_"/>
      <sheetName val="ราคา_KYS_เพิ่มเติม_2_,_4__"/>
      <sheetName val="เสนอราคางานเพิ่มเติม_2__"/>
      <sheetName val="เสนอราคางานเพิ่มเติม_4_"/>
      <sheetName val="งานเพิ่มเติม_งานไฟฟ้า_ตกแต่ง_"/>
      <sheetName val="_รายการประตู_หน้าต่าง"/>
      <sheetName val="รายการอุปกรณ์ประตู_หน้าต่าง"/>
      <sheetName val="รายละเอียดประตู_หน้าต่าง"/>
      <sheetName val="ปรับราคาประตูหน้าต่าง__2_"/>
      <sheetName val="ราคาประตูหน้าต่าง_KYS_"/>
      <sheetName val="ปรับราคาประตูหน้าต่าง__2__(2)"/>
      <sheetName val="เปรียบเทียบราคา_D&amp;W_2"/>
      <sheetName val="เปรียบเทียบราคาประตูหน้าต่าง_1_"/>
      <sheetName val="งวดงาน_(3)"/>
      <sheetName val="สรุปราคา_(3)"/>
      <sheetName val="เสนอราคา_(3)"/>
      <sheetName val="งานระบบปรับอากาศ_"/>
      <sheetName val="งานระบบปรับอากาศ_2_"/>
      <sheetName val="ประมาณการประตูหน้าต่าง_"/>
      <sheetName val="9_ยิ่งสุข"/>
      <sheetName val="รปภ_1"/>
      <sheetName val="รปภ_2"/>
      <sheetName val="รปภ_3"/>
      <sheetName val="รปภ_3_(2)"/>
      <sheetName val="รปภ_3_(3)"/>
      <sheetName val="ราคา_KYS_เพิ่มเติม_2__"/>
      <sheetName val="S-5"/>
      <sheetName val="code"/>
      <sheetName val="LOTUS-EE1"/>
      <sheetName val="Sheet2"/>
      <sheetName val="ทด"/>
      <sheetName val="SAN REDUCED 1"/>
      <sheetName val="Worksheet"/>
      <sheetName val="Somchai15"/>
      <sheetName val="EST-FOOTING (G)"/>
      <sheetName val="DETAIL"/>
      <sheetName val="BUDGET"/>
      <sheetName val="QUANTITY COMPARISON"/>
      <sheetName val="Bill No. 2 - Carpark"/>
      <sheetName val="DETAIL "/>
      <sheetName val="splinkler"/>
      <sheetName val="BOQ1 (2)"/>
      <sheetName val="รายงานระยะที่_2_1"/>
      <sheetName val="งานAlum__แอมโปรเทค_1"/>
      <sheetName val="ราคา_KYS_เพิ่มเติม_2_,_4__1"/>
      <sheetName val="เสนอราคางานเพิ่มเติม_2__1"/>
      <sheetName val="เสนอราคางานเพิ่มเติม_4_1"/>
      <sheetName val="งานเพิ่มเติม_งานไฟฟ้า_ตกแต่ง_1"/>
      <sheetName val="_รายการประตู_หน้าต่าง1"/>
      <sheetName val="รายการอุปกรณ์ประตู_หน้าต่าง1"/>
      <sheetName val="รายละเอียดประตู_หน้าต่าง1"/>
      <sheetName val="ปรับราคาประตูหน้าต่าง__2_1"/>
      <sheetName val="ราคาประตูหน้าต่าง_KYS_1"/>
      <sheetName val="ปรับราคาประตูหน้าต่าง__2__(2)1"/>
      <sheetName val="เปรียบเทียบราคา_D&amp;W_21"/>
      <sheetName val="เปรียบเทียบราคาประตูหน้าต่าง_11"/>
      <sheetName val="งวดงาน_(3)1"/>
      <sheetName val="สรุปราคา_(3)1"/>
      <sheetName val="เสนอราคา_(3)1"/>
      <sheetName val="งานระบบปรับอากาศ_1"/>
      <sheetName val="งานระบบปรับอากาศ_2_1"/>
      <sheetName val="ประมาณการประตูหน้าต่าง_1"/>
      <sheetName val="9_ยิ่งสุข1"/>
      <sheetName val="รปภ_11"/>
      <sheetName val="รปภ_21"/>
      <sheetName val="รปภ_31"/>
      <sheetName val="รปภ_3_(2)1"/>
      <sheetName val="รปภ_3_(3)1"/>
      <sheetName val="ราคา_KYS_เพิ่มเติม_2__1"/>
      <sheetName val="ประมาณการประต_หน_าต_าง_"/>
      <sheetName val="SAN_REDUCED_1"/>
      <sheetName val="EST-FOOTING_(G)"/>
      <sheetName val="QUANTITY_COMPARISON"/>
      <sheetName val="Bill_No__2_-_Carpark"/>
      <sheetName val="DETAIL_"/>
      <sheetName val="BOQ1_(2)"/>
      <sheetName val="Table Name"/>
      <sheetName val="SH-E"/>
      <sheetName val="รวมราคาทั้งสิ้น"/>
      <sheetName val="แบบเดิม"/>
      <sheetName val="รายงานระยะที่_2_2"/>
      <sheetName val="งานAlum__แอมโปรเทค_2"/>
      <sheetName val="ราคา_KYS_เพิ่มเติม_2_,_4__2"/>
      <sheetName val="เสนอราคางานเพิ่มเติม_2__2"/>
      <sheetName val="เสนอราคางานเพิ่มเติม_4_2"/>
      <sheetName val="งานเพิ่มเติม_งานไฟฟ้า_ตกแต่ง_2"/>
      <sheetName val="_รายการประตู_หน้าต่าง2"/>
      <sheetName val="รายการอุปกรณ์ประตู_หน้าต่าง2"/>
      <sheetName val="รายละเอียดประตู_หน้าต่าง2"/>
      <sheetName val="ปรับราคาประตูหน้าต่าง__2_2"/>
      <sheetName val="ราคาประตูหน้าต่าง_KYS_2"/>
      <sheetName val="ปรับราคาประตูหน้าต่าง__2__(2)2"/>
      <sheetName val="เปรียบเทียบราคา_D&amp;W_22"/>
      <sheetName val="เปรียบเทียบราคาประตูหน้าต่าง_12"/>
      <sheetName val="งวดงาน_(3)2"/>
      <sheetName val="สรุปราคา_(3)2"/>
      <sheetName val="เสนอราคา_(3)2"/>
      <sheetName val="งานระบบปรับอากาศ_2"/>
      <sheetName val="งานระบบปรับอากาศ_2_2"/>
      <sheetName val="ประมาณการประตูหน้าต่าง_2"/>
      <sheetName val="9_ยิ่งสุข2"/>
      <sheetName val="รปภ_12"/>
      <sheetName val="รปภ_22"/>
      <sheetName val="รปภ_32"/>
      <sheetName val="รปภ_3_(2)2"/>
      <sheetName val="รปภ_3_(3)2"/>
      <sheetName val="ราคา_KYS_เพิ่มเติม_2__2"/>
      <sheetName val="ประมาณการประต_หน_าต_าง_1"/>
      <sheetName val="SAN_REDUCED_11"/>
      <sheetName val="BOQ1_(2)1"/>
      <sheetName val="EST-FOOTING_(G)1"/>
      <sheetName val="QUANTITY_COMPARISON1"/>
      <sheetName val="Bill_No__2_-_Carpark1"/>
      <sheetName val="DETAIL_1"/>
      <sheetName val="Table_Name"/>
      <sheetName val="ข้อมูล"/>
      <sheetName val="สรุปราคางานสถาปัตยกรรม"/>
      <sheetName val="schedule "/>
      <sheetName val="2_ID_Guestroom"/>
      <sheetName val="Architectural works"/>
      <sheetName val="รายงานระยะที่_2_3"/>
      <sheetName val="งานAlum__แอมโปรเทค_3"/>
      <sheetName val="ราคา_KYS_เพิ่มเติม_2_,_4__3"/>
      <sheetName val="เสนอราคางานเพิ่มเติม_2__3"/>
      <sheetName val="เสนอราคางานเพิ่มเติม_4_3"/>
      <sheetName val="งานเพิ่มเติม_งานไฟฟ้า_ตกแต่ง_3"/>
      <sheetName val="_รายการประตู_หน้าต่าง3"/>
      <sheetName val="รายการอุปกรณ์ประตู_หน้าต่าง3"/>
      <sheetName val="รายละเอียดประตู_หน้าต่าง3"/>
      <sheetName val="ปรับราคาประตูหน้าต่าง__2_3"/>
      <sheetName val="ราคาประตูหน้าต่าง_KYS_3"/>
      <sheetName val="ปรับราคาประตูหน้าต่าง__2__(2)3"/>
      <sheetName val="เปรียบเทียบราคา_D&amp;W_23"/>
      <sheetName val="เปรียบเทียบราคาประตูหน้าต่าง_13"/>
      <sheetName val="งวดงาน_(3)3"/>
      <sheetName val="สรุปราคา_(3)3"/>
      <sheetName val="เสนอราคา_(3)3"/>
      <sheetName val="งานระบบปรับอากาศ_3"/>
      <sheetName val="งานระบบปรับอากาศ_2_3"/>
      <sheetName val="ประมาณการประตูหน้าต่าง_3"/>
      <sheetName val="9_ยิ่งสุข3"/>
      <sheetName val="รปภ_13"/>
      <sheetName val="รปภ_23"/>
      <sheetName val="รปภ_33"/>
      <sheetName val="รปภ_3_(2)3"/>
      <sheetName val="รปภ_3_(3)3"/>
      <sheetName val="ราคา_KYS_เพิ่มเติม_2__3"/>
      <sheetName val="ประมาณการประต_หน_าต_าง_2"/>
      <sheetName val="SAN_REDUCED_12"/>
      <sheetName val="EST-FOOTING_(G)2"/>
      <sheetName val="QUANTITY_COMPARISON2"/>
      <sheetName val="Bill_No__2_-_Carpark2"/>
      <sheetName val="DETAIL_2"/>
      <sheetName val="BOQ1_(2)2"/>
      <sheetName val="Table_Name1"/>
      <sheetName val="schedule_"/>
      <sheetName val="Architectural_works"/>
      <sheetName val="boq"/>
      <sheetName val="rate"/>
      <sheetName val="DEP12"/>
      <sheetName val="sheetNO"/>
      <sheetName val="SITE OFFICE"/>
      <sheetName val="Labor (2)"/>
      <sheetName val="Manpower"/>
      <sheetName val="รายงานระยะที่_2_4"/>
      <sheetName val="งานAlum__แอมโปรเทค_4"/>
      <sheetName val="ราคา_KYS_เพิ่มเติม_2_,_4__4"/>
      <sheetName val="เสนอราคางานเพิ่มเติม_2__4"/>
      <sheetName val="เสนอราคางานเพิ่มเติม_4_4"/>
      <sheetName val="งานเพิ่มเติม_งานไฟฟ้า_ตกแต่ง_4"/>
      <sheetName val="_รายการประตู_หน้าต่าง4"/>
      <sheetName val="รายการอุปกรณ์ประตู_หน้าต่าง4"/>
      <sheetName val="รายละเอียดประตู_หน้าต่าง4"/>
      <sheetName val="ปรับราคาประตูหน้าต่าง__2_4"/>
      <sheetName val="ราคาประตูหน้าต่าง_KYS_4"/>
      <sheetName val="ปรับราคาประตูหน้าต่าง__2__(2)4"/>
      <sheetName val="เปรียบเทียบราคา_D&amp;W_24"/>
      <sheetName val="เปรียบเทียบราคาประตูหน้าต่าง_14"/>
      <sheetName val="งวดงาน_(3)4"/>
      <sheetName val="สรุปราคา_(3)4"/>
      <sheetName val="เสนอราคา_(3)4"/>
      <sheetName val="งานระบบปรับอากาศ_4"/>
      <sheetName val="งานระบบปรับอากาศ_2_4"/>
      <sheetName val="ประมาณการประตูหน้าต่าง_4"/>
      <sheetName val="9_ยิ่งสุข4"/>
      <sheetName val="รปภ_14"/>
      <sheetName val="รปภ_24"/>
      <sheetName val="รปภ_34"/>
      <sheetName val="รปภ_3_(2)4"/>
      <sheetName val="รปภ_3_(3)4"/>
      <sheetName val="ราคา_KYS_เพิ่มเติม_2__4"/>
      <sheetName val="ประมาณการประต_หน_าต_าง_3"/>
      <sheetName val="SAN_REDUCED_13"/>
      <sheetName val="EST-FOOTING_(G)3"/>
      <sheetName val="QUANTITY_COMPARISON3"/>
      <sheetName val="Bill_No__2_-_Carpark3"/>
      <sheetName val="DETAIL_3"/>
      <sheetName val="BOQ1_(2)3"/>
      <sheetName val="Table_Name2"/>
      <sheetName val="schedule_1"/>
      <sheetName val="Architectural_works1"/>
      <sheetName val="covere"/>
      <sheetName val="SH-F"/>
      <sheetName val="calc_menu_déroulant"/>
      <sheetName val="ราคาต่อหน่วย2-9"/>
      <sheetName val="หน้า ปมก"/>
      <sheetName val="Customize Your Purchase Order"/>
      <sheetName val="bq"/>
      <sheetName val="โครงสร้าง"/>
      <sheetName val="LIST 2005"/>
      <sheetName val="รายงานระยะที่_2_5"/>
      <sheetName val="งานAlum__แอมโปรเทค_5"/>
      <sheetName val="ราคา_KYS_เพิ่มเติม_2_,_4__5"/>
      <sheetName val="เสนอราคางานเพิ่มเติม_2__5"/>
      <sheetName val="เสนอราคางานเพิ่มเติม_4_5"/>
      <sheetName val="งานเพิ่มเติม_งานไฟฟ้า_ตกแต่ง_5"/>
      <sheetName val="_รายการประตู_หน้าต่าง5"/>
      <sheetName val="รายการอุปกรณ์ประตู_หน้าต่าง5"/>
      <sheetName val="รายละเอียดประตู_หน้าต่าง5"/>
      <sheetName val="ปรับราคาประตูหน้าต่าง__2_5"/>
      <sheetName val="ราคาประตูหน้าต่าง_KYS_5"/>
      <sheetName val="ปรับราคาประตูหน้าต่าง__2__(2)5"/>
      <sheetName val="เปรียบเทียบราคา_D&amp;W_25"/>
      <sheetName val="เปรียบเทียบราคาประตูหน้าต่าง_15"/>
      <sheetName val="งวดงาน_(3)5"/>
      <sheetName val="สรุปราคา_(3)5"/>
      <sheetName val="เสนอราคา_(3)5"/>
      <sheetName val="งานระบบปรับอากาศ_5"/>
      <sheetName val="งานระบบปรับอากาศ_2_5"/>
      <sheetName val="ประมาณการประตูหน้าต่าง_5"/>
      <sheetName val="9_ยิ่งสุข5"/>
      <sheetName val="รปภ_15"/>
      <sheetName val="รปภ_25"/>
      <sheetName val="รปภ_35"/>
      <sheetName val="รปภ_3_(2)5"/>
      <sheetName val="รปภ_3_(3)5"/>
      <sheetName val="ราคา_KYS_เพิ่มเติม_2__5"/>
      <sheetName val="ประมาณการประต_หน_าต_าง_4"/>
      <sheetName val="SAN_REDUCED_14"/>
      <sheetName val="BOQ1_(2)4"/>
      <sheetName val="EST-FOOTING_(G)4"/>
      <sheetName val="QUANTITY_COMPARISON4"/>
      <sheetName val="Bill_No__2_-_Carpark4"/>
      <sheetName val="DETAIL_4"/>
      <sheetName val="Table_Name3"/>
      <sheetName val="schedule_2"/>
      <sheetName val="Architectural_works2"/>
      <sheetName val="SITE_OFFICE"/>
      <sheetName val="A"/>
      <sheetName val="FF_6"/>
      <sheetName val="เล็ก"/>
      <sheetName val="รายงานระยะที่_2_6"/>
      <sheetName val="งานAlum__แอมโปรเทค_6"/>
      <sheetName val="ราคา_KYS_เพิ่มเติม_2_,_4__6"/>
      <sheetName val="เสนอราคางานเพิ่มเติม_2__6"/>
      <sheetName val="เสนอราคางานเพิ่มเติม_4_6"/>
      <sheetName val="งานเพิ่มเติม_งานไฟฟ้า_ตกแต่ง_6"/>
      <sheetName val="_รายการประตู_หน้าต่าง6"/>
      <sheetName val="รายการอุปกรณ์ประตู_หน้าต่าง6"/>
      <sheetName val="รายละเอียดประตู_หน้าต่าง6"/>
      <sheetName val="ปรับราคาประตูหน้าต่าง__2_6"/>
      <sheetName val="ราคาประตูหน้าต่าง_KYS_6"/>
      <sheetName val="ปรับราคาประตูหน้าต่าง__2__(2)6"/>
      <sheetName val="เปรียบเทียบราคา_D&amp;W_26"/>
      <sheetName val="เปรียบเทียบราคาประตูหน้าต่าง_16"/>
      <sheetName val="งวดงาน_(3)6"/>
      <sheetName val="สรุปราคา_(3)6"/>
      <sheetName val="เสนอราคา_(3)6"/>
      <sheetName val="งานระบบปรับอากาศ_6"/>
      <sheetName val="งานระบบปรับอากาศ_2_6"/>
      <sheetName val="ประมาณการประตูหน้าต่าง_6"/>
      <sheetName val="9_ยิ่งสุข6"/>
      <sheetName val="รปภ_16"/>
      <sheetName val="รปภ_26"/>
      <sheetName val="รปภ_36"/>
      <sheetName val="รปภ_3_(2)6"/>
      <sheetName val="รปภ_3_(3)6"/>
      <sheetName val="ราคา_KYS_เพิ่มเติม_2__6"/>
      <sheetName val="ประมาณการประต_หน_าต_าง_5"/>
      <sheetName val="SAN_REDUCED_15"/>
      <sheetName val="EST-FOOTING_(G)5"/>
      <sheetName val="QUANTITY_COMPARISON5"/>
      <sheetName val="Bill_No__2_-_Carpark5"/>
      <sheetName val="DETAIL_5"/>
      <sheetName val="BOQ1_(2)5"/>
      <sheetName val="Table_Name4"/>
      <sheetName val="schedule_3"/>
      <sheetName val="Architectural_works3"/>
      <sheetName val="SITE_OFFICE1"/>
      <sheetName val="Labor_(2)"/>
      <sheetName val="Sheet3"/>
      <sheetName val="RC.footing"/>
      <sheetName val="SH-C"/>
      <sheetName val="계수시트"/>
      <sheetName val="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"/>
      <sheetName val="ERP"/>
      <sheetName val="สาธารณะ"/>
      <sheetName val="Store"/>
    </sheetNames>
    <sheetDataSet>
      <sheetData sheetId="0"/>
      <sheetData sheetId="1"/>
      <sheetData sheetId="2"/>
      <sheetData sheetId="3">
        <row r="3">
          <cell r="A3" t="str">
            <v>CO3AA1</v>
          </cell>
          <cell r="B3" t="str">
            <v>CO3-อาคารพาณิชย์ 3 ชั้น ห้องริม</v>
          </cell>
          <cell r="C3" t="str">
            <v>B</v>
          </cell>
          <cell r="D3" t="str">
            <v>B1</v>
          </cell>
        </row>
        <row r="4">
          <cell r="A4" t="str">
            <v>CO3AA2</v>
          </cell>
          <cell r="B4" t="str">
            <v>CO3-อาคารพาณิชย์ 3 ชั้น ห้องกลาง</v>
          </cell>
          <cell r="C4" t="str">
            <v>B</v>
          </cell>
          <cell r="D4" t="str">
            <v>B1</v>
          </cell>
        </row>
        <row r="5">
          <cell r="A5" t="str">
            <v>THCN31</v>
          </cell>
          <cell r="B5" t="str">
            <v>ทาวน์เฮาส์ 2 ชั้น ทรงพลอยพฤกษา C ( ห้องริม )</v>
          </cell>
          <cell r="C5" t="str">
            <v>T</v>
          </cell>
          <cell r="D5" t="str">
            <v>C1</v>
          </cell>
        </row>
        <row r="6">
          <cell r="A6" t="str">
            <v>THCN32</v>
          </cell>
          <cell r="B6" t="str">
            <v>ทาวน์เฮาส์ 2 ชั้น ทรงพลอยพฤกษา  C ( ห้องกลาง )</v>
          </cell>
          <cell r="C6" t="str">
            <v>T</v>
          </cell>
          <cell r="D6" t="str">
            <v>C1</v>
          </cell>
        </row>
        <row r="7">
          <cell r="A7" t="str">
            <v>DHCN31</v>
          </cell>
          <cell r="B7" t="str">
            <v>บ้านแฝด 2 ชั้น ทรงพลอยพฤกษา C ( ห้องริม )</v>
          </cell>
          <cell r="C7" t="str">
            <v>D</v>
          </cell>
          <cell r="D7" t="str">
            <v>C1</v>
          </cell>
        </row>
        <row r="8">
          <cell r="A8" t="str">
            <v>THCN41</v>
          </cell>
          <cell r="B8" t="str">
            <v>ทาวน์เฮ้าส์ 2 ชั้น หน้ากว้าง 5.7ม. (ห้องริม)</v>
          </cell>
          <cell r="C8" t="str">
            <v>T</v>
          </cell>
          <cell r="D8" t="str">
            <v>G1</v>
          </cell>
        </row>
        <row r="9">
          <cell r="A9" t="str">
            <v>THCN40</v>
          </cell>
          <cell r="B9" t="str">
            <v>ทาวน์เฮ้าส์ 2 ชั้น หน้ากว้าง 5.7ม. (ห้องกลาง)</v>
          </cell>
          <cell r="C9" t="str">
            <v>T</v>
          </cell>
          <cell r="D9" t="str">
            <v>G1</v>
          </cell>
        </row>
        <row r="10">
          <cell r="A10" t="str">
            <v>COCN41</v>
          </cell>
          <cell r="B10" t="str">
            <v>อาคารพาณิชย์ 2 ชั้น หน้ากว้าง 5.7ม. (ห้องริม)</v>
          </cell>
          <cell r="C10" t="str">
            <v>B</v>
          </cell>
          <cell r="D10" t="str">
            <v>B1</v>
          </cell>
        </row>
        <row r="11">
          <cell r="A11" t="str">
            <v>COCN40</v>
          </cell>
          <cell r="B11" t="str">
            <v>อาคารพาณิชย์ 2 ชั้น หน้ากว้าง 5.7ม. (ห้องกลาง)</v>
          </cell>
          <cell r="C11" t="str">
            <v>B</v>
          </cell>
          <cell r="D11" t="str">
            <v>B1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ใบสรุปราคา"/>
      <sheetName val="สรุปหมวดงาน"/>
      <sheetName val="boq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실행철강하도"/>
      <sheetName val="Store"/>
      <sheetName val="토공집계표"/>
      <sheetName val="Worksheet"/>
      <sheetName val="Sheet1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สรุปงานโครงสร้าง"/>
      <sheetName val="FR"/>
      <sheetName val="MAIN"/>
      <sheetName val="SG"/>
      <sheetName val="J100"/>
      <sheetName val="sheetNO"/>
      <sheetName val="ELE"/>
      <sheetName val="DETAIL "/>
      <sheetName val="SOURCE"/>
      <sheetName val="EST-FOOTING (G)"/>
      <sheetName val="รวมราคาทั้งสิ้น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โครงสร้าง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Lift"/>
      <sheetName val="Stair"/>
      <sheetName val="Code Stair"/>
      <sheetName val="STEEL Roof"/>
      <sheetName val="โครงหลังคา"/>
      <sheetName val="Steel"/>
      <sheetName val="บทสรุปผู้บริหาร"/>
      <sheetName val=" "/>
      <sheetName val="ประมาณการประตูหน้าต่าง "/>
      <sheetName val="cov-estimate"/>
      <sheetName val="rate"/>
      <sheetName val="BAL"/>
      <sheetName val="bq"/>
      <sheetName val="Mat"/>
      <sheetName val="DETAIL_"/>
      <sheetName val="EST-FOOTING_(G)"/>
      <sheetName val="(R05)-PLE-602"/>
      <sheetName val="สรุปราคา (L)"/>
      <sheetName val="AC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ADO_2552"/>
      <sheetName val="STD"/>
      <sheetName val="HVAC"/>
      <sheetName val="I-slab"/>
      <sheetName val="ZPS02"/>
      <sheetName val="Construction cost assumption"/>
      <sheetName val="JLL Assumption"/>
      <sheetName val="Retail Program&amp;Rev Assumption"/>
      <sheetName val="_"/>
      <sheetName val="ประมาณการประตูหน้าต่าง_"/>
      <sheetName val="Unit rate Architecture"/>
      <sheetName val="Cavity Inputs"/>
      <sheetName val="03100(SS)"/>
      <sheetName val="Total BOQ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4G SUM-SK (Lift&amp;Interior)"/>
      <sheetName val="S-Curve (Lift&amp;Interior)"/>
      <sheetName val="6L4 DETAIL SK"/>
      <sheetName val="S-Curve (R2)"/>
      <sheetName val="CUSTOMER"/>
      <sheetName val="7-consume"/>
      <sheetName val="6-Equipment"/>
      <sheetName val="4-Local transport"/>
      <sheetName val="Backup"/>
      <sheetName val="Sum"/>
      <sheetName val="Bill No. 2 - Carpark"/>
      <sheetName val="SAN REDUCED 1"/>
      <sheetName val="Main Sum (Hotel &amp; Residences)"/>
      <sheetName val="BOX Cryostat Details"/>
      <sheetName val="Driver Linac Layout"/>
      <sheetName val="Inputs"/>
      <sheetName val="Magnet Details"/>
      <sheetName val="ELEC"/>
      <sheetName val="SUM-AIR-Submit"/>
      <sheetName val="STRUCTURE"/>
      <sheetName val="อาคารหลัก A"/>
      <sheetName val="PL"/>
      <sheetName val="ELE.xls"/>
      <sheetName val="Factor F Data"/>
      <sheetName val="Code"/>
      <sheetName val="DETAIL_1"/>
      <sheetName val="อาคารหลัก_A"/>
      <sheetName val="Ratio_Qty1"/>
      <sheetName val="Foundation_1"/>
      <sheetName val="Column_1"/>
      <sheetName val="Beam__1"/>
      <sheetName val="RC_Slab_1"/>
      <sheetName val="Lift_Core__1"/>
      <sheetName val="Post-Tens__Slab__1"/>
      <sheetName val="RC_Stair__1"/>
      <sheetName val="RC_wall_1"/>
      <sheetName val="Typ_F1"/>
      <sheetName val="Grand_sum1"/>
      <sheetName val="Sum_Floor1"/>
      <sheetName val="Sum_Fl_1"/>
      <sheetName val="Code_Footing1"/>
      <sheetName val="Code_Column1"/>
      <sheetName val="G_BEAM1"/>
      <sheetName val="Code_Beam1"/>
      <sheetName val="G_Slab1"/>
      <sheetName val="Code_Slab1"/>
      <sheetName val="Code_Post1"/>
      <sheetName val="Code_Stair1"/>
      <sheetName val="STEEL_Roof1"/>
      <sheetName val="EST-FOOTING_(G)1"/>
      <sheetName val="สรุปราคา_(L)"/>
      <sheetName val="Total_BOQ"/>
      <sheetName val="4G_SUM-SK_(Lift&amp;Interior)"/>
      <sheetName val="S-Curve_(Lift&amp;Interior)"/>
      <sheetName val="6L4_DETAIL_SK"/>
      <sheetName val="S-Curve_(R2)"/>
      <sheetName val="4-Local_transport"/>
      <sheetName val="properties"/>
      <sheetName val="ฐานข้อมูลป้าย"/>
      <sheetName val="DETAIL_2"/>
      <sheetName val="อาคารหลัก_A1"/>
      <sheetName val="ประมาณการประตูหน้าต่าง_1"/>
      <sheetName val="Ratio_Qty2"/>
      <sheetName val="Foundation_2"/>
      <sheetName val="Column_2"/>
      <sheetName val="Beam__2"/>
      <sheetName val="RC_Slab_2"/>
      <sheetName val="Lift_Core__2"/>
      <sheetName val="Post-Tens__Slab__2"/>
      <sheetName val="RC_Stair__2"/>
      <sheetName val="RC_wall_2"/>
      <sheetName val="Typ_F2"/>
      <sheetName val="Grand_sum2"/>
      <sheetName val="Sum_Floor2"/>
      <sheetName val="Sum_Fl_2"/>
      <sheetName val="Code_Footing2"/>
      <sheetName val="Code_Column2"/>
      <sheetName val="G_BEAM2"/>
      <sheetName val="Code_Beam2"/>
      <sheetName val="G_Slab2"/>
      <sheetName val="Code_Slab2"/>
      <sheetName val="Code_Post2"/>
      <sheetName val="Code_Stair2"/>
      <sheetName val="STEEL_Roof2"/>
      <sheetName val="_1"/>
      <sheetName val="EST-FOOTING_(G)2"/>
      <sheetName val="สรุปราคา_(L)1"/>
      <sheetName val="Total_BOQ1"/>
      <sheetName val="4G_SUM-SK_(Lift&amp;Interior)1"/>
      <sheetName val="S-Curve_(Lift&amp;Interior)1"/>
      <sheetName val="6L4_DETAIL_SK1"/>
      <sheetName val="S-Curve_(R2)1"/>
      <sheetName val="4-Local_transport1"/>
      <sheetName val="Sum(Civil Work)"/>
      <sheetName val="สรุป_EMC"/>
      <sheetName val="data3"/>
      <sheetName val="Replacement Cost "/>
      <sheetName val="Ratchada"/>
      <sheetName val="Unit_rate_Architecture"/>
      <sheetName val="Construction_cost_assumption"/>
      <sheetName val="JLL_Assumption"/>
      <sheetName val="Retail_Program&amp;Rev_Assumption"/>
      <sheetName val="Cavity_Inputs"/>
      <sheetName val="Sum(Civil_Work)"/>
      <sheetName val="Main_Sum_(Hotel_&amp;_Residences)"/>
      <sheetName val="SAN_REDUCED_1"/>
      <sheetName val="Bill_No__2_-_Carpark"/>
      <sheetName val="SUM_"/>
      <sheetName val="(2)PMI_012"/>
      <sheetName val="(3)PMI_014"/>
      <sheetName val="(4)PMI_015"/>
      <sheetName val="(5)PMI_021"/>
      <sheetName val="(6)PMI_022"/>
      <sheetName val="(7)PMI_024"/>
      <sheetName val="(8)PMI_028"/>
      <sheetName val="(9)PMI__"/>
      <sheetName val="(10)PMI_"/>
      <sheetName val="(_11)TV"/>
      <sheetName val="BOX_Cryostat_Details"/>
      <sheetName val="Driver_Linac_Layout"/>
      <sheetName val="Magnet_Details"/>
      <sheetName val="เงินกู้ MGC"/>
      <sheetName val="เงินกู้ธนชาติ"/>
      <sheetName val="detail"/>
      <sheetName val="B-หมวดงานรื้-ถอน"/>
      <sheetName val=" HW บานเลื่อน"/>
      <sheetName val="วัดใต้"/>
      <sheetName val="file"/>
      <sheetName val="S4.1_MEP Guestroom"/>
      <sheetName val="Factor_F_Data"/>
      <sheetName val="ELE_xls"/>
      <sheetName val="เงินกู้_MGC"/>
      <sheetName val="_HW_บานเลื่อน"/>
      <sheetName val="Replacement_Cost_"/>
      <sheetName val="概総括1"/>
      <sheetName val="Cost Data"/>
      <sheetName val="Material"/>
      <sheetName val="งานโครงสร้าง"/>
      <sheetName val="AC.C"/>
      <sheetName val="Summary"/>
      <sheetName val="S_x0000_&quot;ì_x0005_Ù_x0000__x0000__x0000_"/>
      <sheetName val="RC.footing"/>
      <sheetName val="Menu"/>
      <sheetName val="วัฒนพัฒน์"/>
      <sheetName val="สรุป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LIGHTING FIXTURE ,SWITCH, RECEPTACLE,</v>
          </cell>
        </row>
        <row r="6">
          <cell r="C6">
            <v>1</v>
          </cell>
          <cell r="D6" t="str">
            <v>DIMMER AND ACCESSORIES</v>
          </cell>
        </row>
        <row r="7">
          <cell r="C7">
            <v>1</v>
          </cell>
          <cell r="D7" t="str">
            <v>SWITCH AND RECEPTACLE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1-WAY SWITCH, PLASTIC  PLATE</v>
          </cell>
          <cell r="E8">
            <v>75</v>
          </cell>
          <cell r="F8">
            <v>50</v>
          </cell>
          <cell r="G8" t="str">
            <v>SET</v>
          </cell>
        </row>
        <row r="9">
          <cell r="C9">
            <v>102</v>
          </cell>
          <cell r="D9" t="str">
            <v>-  1-WAY SWITCH, ALUMINIUM  PLATE</v>
          </cell>
          <cell r="E9">
            <v>105</v>
          </cell>
          <cell r="F9">
            <v>50</v>
          </cell>
          <cell r="G9" t="str">
            <v>SET</v>
          </cell>
        </row>
        <row r="10">
          <cell r="C10">
            <v>103</v>
          </cell>
          <cell r="D10" t="str">
            <v>-  1-WAY SWITCH, STAINLES  PLATE</v>
          </cell>
          <cell r="E10">
            <v>120</v>
          </cell>
          <cell r="F10">
            <v>50</v>
          </cell>
          <cell r="G10" t="str">
            <v>SET</v>
          </cell>
        </row>
        <row r="11">
          <cell r="C11">
            <v>104</v>
          </cell>
          <cell r="D11" t="str">
            <v>-  1-WAY SWITCH, PLASTIC PLATE, LIVING STYLE</v>
          </cell>
          <cell r="E11">
            <v>360</v>
          </cell>
          <cell r="F11">
            <v>50</v>
          </cell>
          <cell r="G11" t="str">
            <v>SET</v>
          </cell>
        </row>
        <row r="12">
          <cell r="C12">
            <v>105</v>
          </cell>
          <cell r="D12" t="str">
            <v>-  1-WAY SWITCH, CHROMIUM PLATE, LIVING STYLE</v>
          </cell>
          <cell r="E12">
            <v>620</v>
          </cell>
          <cell r="F12">
            <v>50</v>
          </cell>
          <cell r="G12" t="str">
            <v>SET</v>
          </cell>
        </row>
        <row r="13">
          <cell r="C13">
            <v>106</v>
          </cell>
          <cell r="D13" t="str">
            <v>-  2-WAY SWITCH, PLASTIC PLATE</v>
          </cell>
          <cell r="E13">
            <v>90</v>
          </cell>
          <cell r="F13">
            <v>70</v>
          </cell>
          <cell r="G13" t="str">
            <v>SET</v>
          </cell>
        </row>
        <row r="14">
          <cell r="C14">
            <v>107</v>
          </cell>
          <cell r="D14" t="str">
            <v>-  2-WAY SWITCH, ALUMINIUM PLATE</v>
          </cell>
          <cell r="E14">
            <v>120</v>
          </cell>
          <cell r="F14">
            <v>70</v>
          </cell>
          <cell r="G14" t="str">
            <v>SET</v>
          </cell>
        </row>
        <row r="15">
          <cell r="C15">
            <v>108</v>
          </cell>
          <cell r="D15" t="str">
            <v>-  2-WAY SWITCH, STAINLESS PLATE</v>
          </cell>
          <cell r="E15">
            <v>135</v>
          </cell>
          <cell r="F15">
            <v>70</v>
          </cell>
          <cell r="G15" t="str">
            <v>SET</v>
          </cell>
        </row>
        <row r="16">
          <cell r="C16">
            <v>109</v>
          </cell>
          <cell r="D16" t="str">
            <v>-  2-WAY SWITCH, PLASTIC PLATE, LIVING STYLE</v>
          </cell>
          <cell r="E16">
            <v>380</v>
          </cell>
          <cell r="F16">
            <v>70</v>
          </cell>
          <cell r="G16" t="str">
            <v>SET</v>
          </cell>
        </row>
        <row r="17">
          <cell r="C17">
            <v>110</v>
          </cell>
          <cell r="D17" t="str">
            <v>-  2-WAY SWITCH, CHROMIUM PLATE, LIVING STYLE</v>
          </cell>
          <cell r="E17">
            <v>460</v>
          </cell>
          <cell r="F17">
            <v>70</v>
          </cell>
          <cell r="G17" t="str">
            <v>SET</v>
          </cell>
        </row>
        <row r="18">
          <cell r="C18">
            <v>111</v>
          </cell>
          <cell r="D18" t="str">
            <v>-  4-WAY SWITCH, PLASTIC PLATE</v>
          </cell>
          <cell r="E18">
            <v>255</v>
          </cell>
          <cell r="F18">
            <v>80</v>
          </cell>
          <cell r="G18" t="str">
            <v>SET</v>
          </cell>
        </row>
        <row r="19">
          <cell r="C19">
            <v>112</v>
          </cell>
          <cell r="D19" t="str">
            <v>-  4-WAY SWITCH, ALUMINIUM PLATE</v>
          </cell>
          <cell r="E19">
            <v>285</v>
          </cell>
          <cell r="F19">
            <v>80</v>
          </cell>
          <cell r="G19" t="str">
            <v>SET</v>
          </cell>
        </row>
        <row r="20">
          <cell r="C20">
            <v>113</v>
          </cell>
          <cell r="D20" t="str">
            <v>-  4-WAY SWITCH, STAINLESS PLATE</v>
          </cell>
          <cell r="E20">
            <v>300</v>
          </cell>
          <cell r="F20">
            <v>80</v>
          </cell>
          <cell r="G20" t="str">
            <v>SET</v>
          </cell>
        </row>
        <row r="21">
          <cell r="C21">
            <v>114</v>
          </cell>
          <cell r="D21" t="str">
            <v>-  4-WAY SWITCH, PLASTIC PLATE, LIVING STYLE</v>
          </cell>
          <cell r="E21">
            <v>475</v>
          </cell>
          <cell r="F21">
            <v>80</v>
          </cell>
          <cell r="G21" t="str">
            <v>SET</v>
          </cell>
        </row>
        <row r="22">
          <cell r="C22">
            <v>115</v>
          </cell>
          <cell r="D22" t="str">
            <v>-  4-WAY SWITCH, CHROMIUM PLATE, LIVING STYLE</v>
          </cell>
          <cell r="E22">
            <v>735</v>
          </cell>
          <cell r="F22">
            <v>80</v>
          </cell>
          <cell r="G22" t="str">
            <v>SET</v>
          </cell>
        </row>
        <row r="23">
          <cell r="C23">
            <v>116</v>
          </cell>
          <cell r="D23" t="str">
            <v>-  PILOT LAMP 1-W. SWITCH. PLASTIC PLATE</v>
          </cell>
          <cell r="E23">
            <v>185</v>
          </cell>
          <cell r="F23">
            <v>50</v>
          </cell>
          <cell r="G23" t="str">
            <v>SET</v>
          </cell>
        </row>
        <row r="24">
          <cell r="C24">
            <v>117</v>
          </cell>
          <cell r="D24" t="str">
            <v>-  PILOT LAMP 1-W. SWITCH. ALUMINIUM PLATE</v>
          </cell>
          <cell r="E24">
            <v>215</v>
          </cell>
          <cell r="F24">
            <v>50</v>
          </cell>
          <cell r="G24" t="str">
            <v>SET</v>
          </cell>
        </row>
        <row r="25">
          <cell r="C25">
            <v>118</v>
          </cell>
          <cell r="D25" t="str">
            <v>-  PILOT LAMP 1-W. SWITCH. STAINLESS PLATE</v>
          </cell>
          <cell r="E25">
            <v>230</v>
          </cell>
          <cell r="F25">
            <v>50</v>
          </cell>
          <cell r="G25" t="str">
            <v>SET</v>
          </cell>
        </row>
        <row r="26">
          <cell r="C26">
            <v>119</v>
          </cell>
          <cell r="D26" t="str">
            <v>-  PILOT LAMP 1-W. SWITCH. PLASTIC PLATE, LIVING STYLE</v>
          </cell>
          <cell r="E26">
            <v>440</v>
          </cell>
          <cell r="F26">
            <v>50</v>
          </cell>
          <cell r="G26" t="str">
            <v>SET</v>
          </cell>
        </row>
        <row r="27">
          <cell r="C27">
            <v>120</v>
          </cell>
          <cell r="D27" t="str">
            <v>-  PILOT LAMP 1-W. SWITCH. CHROMIUM PLATE, LIVING STYLE</v>
          </cell>
          <cell r="E27">
            <v>700</v>
          </cell>
          <cell r="F27">
            <v>50</v>
          </cell>
          <cell r="G27" t="str">
            <v>SET</v>
          </cell>
        </row>
        <row r="28">
          <cell r="C28">
            <v>121</v>
          </cell>
          <cell r="D28" t="str">
            <v>-  DIMMER 1-W. SWITCH. PLASTIC PLATE</v>
          </cell>
          <cell r="E28">
            <v>460</v>
          </cell>
          <cell r="F28">
            <v>70</v>
          </cell>
          <cell r="G28" t="str">
            <v>SET</v>
          </cell>
        </row>
        <row r="29">
          <cell r="C29">
            <v>122</v>
          </cell>
          <cell r="D29" t="str">
            <v>-  DIMMER 1-W. SWITCH. ALUMINIUM PLATE</v>
          </cell>
          <cell r="E29">
            <v>500</v>
          </cell>
          <cell r="F29">
            <v>70</v>
          </cell>
          <cell r="G29" t="str">
            <v>SET</v>
          </cell>
        </row>
        <row r="30">
          <cell r="C30">
            <v>123</v>
          </cell>
          <cell r="D30" t="str">
            <v>-  DIMMER 1-W. SWITCH. STAINLESS PLATE</v>
          </cell>
          <cell r="E30">
            <v>520</v>
          </cell>
          <cell r="F30">
            <v>70</v>
          </cell>
          <cell r="G30" t="str">
            <v>SET</v>
          </cell>
        </row>
        <row r="31">
          <cell r="C31">
            <v>124</v>
          </cell>
          <cell r="D31" t="str">
            <v>-  DIMMER 1-W. SWITCH. PLASTIC PLATE, LIVING STYLE</v>
          </cell>
          <cell r="E31">
            <v>760</v>
          </cell>
          <cell r="F31">
            <v>70</v>
          </cell>
          <cell r="G31" t="str">
            <v>SET</v>
          </cell>
        </row>
        <row r="32">
          <cell r="C32">
            <v>125</v>
          </cell>
          <cell r="D32" t="str">
            <v>-  DIMMER 1-W. SWITCH. CHROMIUM PLATE, LIVING STYLE</v>
          </cell>
          <cell r="E32">
            <v>1000</v>
          </cell>
          <cell r="F32">
            <v>70</v>
          </cell>
          <cell r="G32" t="str">
            <v>SET</v>
          </cell>
        </row>
        <row r="33">
          <cell r="C33">
            <v>126</v>
          </cell>
          <cell r="D33" t="str">
            <v>-  DIMMER 2-W. SWITCH. PLASTIC PLATE</v>
          </cell>
          <cell r="E33">
            <v>680</v>
          </cell>
          <cell r="F33">
            <v>70</v>
          </cell>
          <cell r="G33" t="str">
            <v>SET</v>
          </cell>
        </row>
        <row r="34">
          <cell r="C34">
            <v>127</v>
          </cell>
          <cell r="D34" t="str">
            <v>-  DIMMER 2-W. SWITCH. ALUMINIUM PLATE</v>
          </cell>
          <cell r="E34">
            <v>700</v>
          </cell>
          <cell r="F34">
            <v>80</v>
          </cell>
          <cell r="G34" t="str">
            <v>SET</v>
          </cell>
        </row>
        <row r="35">
          <cell r="C35">
            <v>128</v>
          </cell>
          <cell r="D35" t="str">
            <v>-  DIMMER 2-W. SWITCH. STAINLESS PLATE</v>
          </cell>
          <cell r="E35">
            <v>720</v>
          </cell>
          <cell r="F35">
            <v>80</v>
          </cell>
          <cell r="G35" t="str">
            <v>SET</v>
          </cell>
        </row>
        <row r="36">
          <cell r="C36">
            <v>129</v>
          </cell>
          <cell r="D36" t="str">
            <v>-  DIMMER 2-W. SWITCH. PLASTIC PLATE, LIVING STYLE</v>
          </cell>
          <cell r="E36">
            <v>950</v>
          </cell>
          <cell r="F36">
            <v>80</v>
          </cell>
          <cell r="G36" t="str">
            <v>SET</v>
          </cell>
        </row>
        <row r="37">
          <cell r="C37">
            <v>130</v>
          </cell>
          <cell r="D37" t="str">
            <v>-  DIMMER 2-W. SWITCH. CHROMIUM PLATE, LIVING STYLE</v>
          </cell>
          <cell r="E37">
            <v>1200</v>
          </cell>
          <cell r="F37">
            <v>90</v>
          </cell>
          <cell r="G37" t="str">
            <v>SET</v>
          </cell>
        </row>
        <row r="38">
          <cell r="C38">
            <v>131</v>
          </cell>
          <cell r="D38" t="str">
            <v>-  DIMMER 4-W. SWITCH. PLASTIC PLATE</v>
          </cell>
          <cell r="E38">
            <v>1100</v>
          </cell>
          <cell r="F38">
            <v>90</v>
          </cell>
          <cell r="G38" t="str">
            <v>SET</v>
          </cell>
        </row>
        <row r="39">
          <cell r="C39">
            <v>132</v>
          </cell>
          <cell r="D39" t="str">
            <v>-  DIMMER 4-W. SWITCH. ALUMINIUM PLATE</v>
          </cell>
          <cell r="E39">
            <v>1200</v>
          </cell>
          <cell r="F39">
            <v>90</v>
          </cell>
          <cell r="G39" t="str">
            <v>SET</v>
          </cell>
        </row>
        <row r="40">
          <cell r="C40">
            <v>133</v>
          </cell>
          <cell r="D40" t="str">
            <v>-  DIMMER 4-W. SWITCH. STAINLESS PLATE</v>
          </cell>
          <cell r="E40">
            <v>1250</v>
          </cell>
          <cell r="F40">
            <v>90</v>
          </cell>
          <cell r="G40" t="str">
            <v>SET</v>
          </cell>
        </row>
        <row r="41">
          <cell r="C41">
            <v>134</v>
          </cell>
          <cell r="D41" t="str">
            <v>-  DIMMER 4-W. SWITCH. PLASTIC PLATE, LIVING STYLE</v>
          </cell>
          <cell r="E41">
            <v>2500</v>
          </cell>
          <cell r="F41">
            <v>90</v>
          </cell>
          <cell r="G41" t="str">
            <v>SET</v>
          </cell>
        </row>
        <row r="42">
          <cell r="C42">
            <v>135</v>
          </cell>
          <cell r="D42" t="str">
            <v>-  DIMMER 4-W. SWITCH. CHROMIUM PLATE, LIVING STYLE</v>
          </cell>
          <cell r="E42">
            <v>2800</v>
          </cell>
          <cell r="F42">
            <v>90</v>
          </cell>
          <cell r="G42" t="str">
            <v>SET</v>
          </cell>
        </row>
        <row r="43">
          <cell r="C43">
            <v>143</v>
          </cell>
          <cell r="D43" t="str">
            <v>SPACE</v>
          </cell>
          <cell r="E43">
            <v>31</v>
          </cell>
          <cell r="F43">
            <v>4</v>
          </cell>
          <cell r="G43" t="str">
            <v>M.</v>
          </cell>
        </row>
        <row r="44">
          <cell r="C44">
            <v>141</v>
          </cell>
          <cell r="D44" t="str">
            <v>-  SIMPLEX RECEPTACLE,2P+G, PLASTIC PLATE</v>
          </cell>
          <cell r="E44">
            <v>120</v>
          </cell>
          <cell r="F44">
            <v>50</v>
          </cell>
          <cell r="G44" t="str">
            <v>SET</v>
          </cell>
        </row>
        <row r="45">
          <cell r="C45">
            <v>142</v>
          </cell>
          <cell r="D45" t="str">
            <v>-  SIMPLEX RECEPTACLE,2P+G, ALUMINIUM PLATE</v>
          </cell>
          <cell r="E45">
            <v>150</v>
          </cell>
          <cell r="F45">
            <v>50</v>
          </cell>
          <cell r="G45" t="str">
            <v>SET</v>
          </cell>
        </row>
        <row r="46">
          <cell r="C46">
            <v>143</v>
          </cell>
          <cell r="D46" t="str">
            <v>-  SIMPLEX RECEPTACLE,2P+G, STAINLESS PLATE</v>
          </cell>
          <cell r="E46">
            <v>160</v>
          </cell>
          <cell r="F46">
            <v>50</v>
          </cell>
          <cell r="G46" t="str">
            <v>SET</v>
          </cell>
        </row>
        <row r="47">
          <cell r="C47">
            <v>144</v>
          </cell>
          <cell r="D47" t="str">
            <v>-  SIMPLEX RECEPTACLE,2P, PLASTIC PLATE</v>
          </cell>
          <cell r="E47">
            <v>80</v>
          </cell>
          <cell r="F47">
            <v>50</v>
          </cell>
          <cell r="G47" t="str">
            <v>SET</v>
          </cell>
        </row>
        <row r="48">
          <cell r="C48">
            <v>145</v>
          </cell>
          <cell r="D48" t="str">
            <v>-  SIMPLEX RECEPTACLE,2P, ALUMINIUM PLATE</v>
          </cell>
          <cell r="E48">
            <v>110</v>
          </cell>
          <cell r="F48">
            <v>50</v>
          </cell>
          <cell r="G48" t="str">
            <v>SET</v>
          </cell>
        </row>
        <row r="49">
          <cell r="C49">
            <v>146</v>
          </cell>
          <cell r="D49" t="str">
            <v>-  SIMPLEX RECEPTACLE,2P, STAINLESS PLATE</v>
          </cell>
          <cell r="E49">
            <v>120</v>
          </cell>
          <cell r="F49">
            <v>50</v>
          </cell>
          <cell r="G49" t="str">
            <v>SET</v>
          </cell>
        </row>
        <row r="50">
          <cell r="C50">
            <v>147</v>
          </cell>
          <cell r="D50" t="str">
            <v>-  DUPLEX RECEPTACLE,2P+G, PLASTIC PLATE</v>
          </cell>
          <cell r="E50">
            <v>200</v>
          </cell>
          <cell r="F50">
            <v>70</v>
          </cell>
          <cell r="G50" t="str">
            <v>SET</v>
          </cell>
        </row>
        <row r="51">
          <cell r="C51">
            <v>148</v>
          </cell>
          <cell r="D51" t="str">
            <v>-  DUPLEX RECEPTACLE,2P+G, ALUMINIUM PLATE</v>
          </cell>
          <cell r="E51">
            <v>220</v>
          </cell>
          <cell r="F51">
            <v>70</v>
          </cell>
          <cell r="G51" t="str">
            <v>SET</v>
          </cell>
        </row>
        <row r="52">
          <cell r="C52">
            <v>149</v>
          </cell>
          <cell r="D52" t="str">
            <v>-  DUPLEX RECEPTACLE,2P+G, STAINLESS PLATE</v>
          </cell>
          <cell r="E52">
            <v>240</v>
          </cell>
          <cell r="F52">
            <v>70</v>
          </cell>
          <cell r="G52" t="str">
            <v>SET</v>
          </cell>
        </row>
        <row r="53">
          <cell r="C53">
            <v>150</v>
          </cell>
          <cell r="D53" t="str">
            <v>-  DUPLEX RECEPTACLE,2P, PLASTIC PLATE</v>
          </cell>
          <cell r="E53">
            <v>120</v>
          </cell>
          <cell r="F53">
            <v>70</v>
          </cell>
          <cell r="G53" t="str">
            <v>SET</v>
          </cell>
        </row>
        <row r="54">
          <cell r="C54">
            <v>151</v>
          </cell>
          <cell r="D54" t="str">
            <v>-  DUPLEX RECEPTACLE,2P, ALUMINIUM PLATE</v>
          </cell>
          <cell r="E54">
            <v>140</v>
          </cell>
          <cell r="F54">
            <v>70</v>
          </cell>
          <cell r="G54" t="str">
            <v>SET</v>
          </cell>
        </row>
        <row r="55">
          <cell r="C55">
            <v>152</v>
          </cell>
          <cell r="D55" t="str">
            <v>-  DUPLEX RECEPTACLE,2P, STAINLESS PLATE</v>
          </cell>
          <cell r="E55">
            <v>160</v>
          </cell>
          <cell r="F55">
            <v>70</v>
          </cell>
          <cell r="G55" t="str">
            <v>SET</v>
          </cell>
        </row>
        <row r="56">
          <cell r="C56">
            <v>153</v>
          </cell>
          <cell r="D56" t="str">
            <v>-  SIMPLEX RECEPTACLE,2P+G, PLASTIC PLATE,LIVING STYLE</v>
          </cell>
          <cell r="E56">
            <v>405</v>
          </cell>
          <cell r="F56">
            <v>50</v>
          </cell>
          <cell r="G56" t="str">
            <v>SET</v>
          </cell>
        </row>
        <row r="57">
          <cell r="C57">
            <v>154</v>
          </cell>
          <cell r="D57" t="str">
            <v>-  SIMPLEX RECEPTACLE,2P+G, CHROMINIUM PLATE, LIVING STYLE</v>
          </cell>
          <cell r="E57">
            <v>665</v>
          </cell>
          <cell r="F57">
            <v>50</v>
          </cell>
          <cell r="G57" t="str">
            <v>SET</v>
          </cell>
        </row>
        <row r="58">
          <cell r="C58">
            <v>155</v>
          </cell>
          <cell r="D58" t="str">
            <v>-  DUPLEX RECEPTACLE,2P+G, PLASTIC PLATE, LIVING STYLE</v>
          </cell>
          <cell r="E58">
            <v>550</v>
          </cell>
          <cell r="F58">
            <v>70</v>
          </cell>
          <cell r="G58" t="str">
            <v>SET</v>
          </cell>
        </row>
        <row r="59">
          <cell r="C59">
            <v>156</v>
          </cell>
          <cell r="D59" t="str">
            <v>-  DUPLEX RECEPTACLE,2P+G, CHROMINIUM PLATE, LIVING STYLE</v>
          </cell>
          <cell r="E59">
            <v>810</v>
          </cell>
          <cell r="F59">
            <v>70</v>
          </cell>
          <cell r="G59" t="str">
            <v>SET</v>
          </cell>
        </row>
        <row r="60">
          <cell r="C60">
            <v>157</v>
          </cell>
          <cell r="D60" t="str">
            <v>-  SIMPLEX RECEPTACLE, 2P+G, POP UP TYPE</v>
          </cell>
          <cell r="E60">
            <v>1400</v>
          </cell>
          <cell r="F60">
            <v>70</v>
          </cell>
          <cell r="G60" t="str">
            <v>SET</v>
          </cell>
        </row>
        <row r="61">
          <cell r="C61">
            <v>158</v>
          </cell>
          <cell r="D61" t="str">
            <v>-  DUPLEX RECEPTACLE, 2P+G, POP UP TYPE</v>
          </cell>
          <cell r="E61">
            <v>2200</v>
          </cell>
          <cell r="F61">
            <v>70</v>
          </cell>
          <cell r="G61" t="str">
            <v>SET</v>
          </cell>
        </row>
        <row r="62">
          <cell r="C62">
            <v>159</v>
          </cell>
          <cell r="D62" t="str">
            <v>-  SHAVER OUTLET W./ISOLATING TRANSFORMER</v>
          </cell>
          <cell r="E62">
            <v>1500</v>
          </cell>
          <cell r="F62">
            <v>70</v>
          </cell>
          <cell r="G62" t="str">
            <v>SET</v>
          </cell>
        </row>
        <row r="63">
          <cell r="C63">
            <v>301</v>
          </cell>
          <cell r="D63" t="str">
            <v>SPACE</v>
          </cell>
          <cell r="E63">
            <v>6570</v>
          </cell>
          <cell r="F63">
            <v>0</v>
          </cell>
          <cell r="G63" t="str">
            <v>SET</v>
          </cell>
        </row>
        <row r="64">
          <cell r="C64">
            <v>161</v>
          </cell>
          <cell r="D64" t="str">
            <v>-  1-WAY SWITCH,WEATHER PROOF</v>
          </cell>
          <cell r="E64">
            <v>280</v>
          </cell>
          <cell r="F64">
            <v>70</v>
          </cell>
          <cell r="G64" t="str">
            <v>SET</v>
          </cell>
        </row>
        <row r="65">
          <cell r="C65">
            <v>162</v>
          </cell>
          <cell r="D65" t="str">
            <v>-  2-WAY SWITCH,WEATHER PROOF</v>
          </cell>
          <cell r="E65">
            <v>300</v>
          </cell>
          <cell r="F65">
            <v>70</v>
          </cell>
          <cell r="G65" t="str">
            <v>SET</v>
          </cell>
        </row>
        <row r="66">
          <cell r="C66">
            <v>163</v>
          </cell>
          <cell r="D66" t="str">
            <v>-  4-WAY SWITCH,WEATHER PROOF</v>
          </cell>
          <cell r="E66">
            <v>460</v>
          </cell>
          <cell r="F66">
            <v>70</v>
          </cell>
          <cell r="G66" t="str">
            <v>SET</v>
          </cell>
        </row>
        <row r="67">
          <cell r="C67">
            <v>164</v>
          </cell>
          <cell r="D67" t="str">
            <v>-  SIMPLEX RECEPTACLE, 2P+G, WEATHER PROOF</v>
          </cell>
          <cell r="E67">
            <v>340</v>
          </cell>
          <cell r="F67">
            <v>70</v>
          </cell>
          <cell r="G67" t="str">
            <v>SET</v>
          </cell>
        </row>
        <row r="68">
          <cell r="C68">
            <v>165</v>
          </cell>
          <cell r="D68" t="str">
            <v>-  SIMPLEX RECEPTACLE, 2P, WEATHER PROOF</v>
          </cell>
          <cell r="E68">
            <v>300</v>
          </cell>
          <cell r="F68">
            <v>70</v>
          </cell>
          <cell r="G68" t="str">
            <v>SET</v>
          </cell>
        </row>
        <row r="69">
          <cell r="C69">
            <v>166</v>
          </cell>
          <cell r="D69" t="str">
            <v>-  DUPLEX RECEPTACLE, 2P+G, WEATHER PROOF</v>
          </cell>
          <cell r="E69">
            <v>420</v>
          </cell>
          <cell r="F69">
            <v>70</v>
          </cell>
          <cell r="G69" t="str">
            <v>SET</v>
          </cell>
        </row>
        <row r="70">
          <cell r="C70">
            <v>167</v>
          </cell>
          <cell r="D70" t="str">
            <v>-  DUPLEX RECEPTACLE, 2P, WEATHER PROOF</v>
          </cell>
          <cell r="E70">
            <v>340</v>
          </cell>
          <cell r="F70">
            <v>70</v>
          </cell>
          <cell r="G70" t="str">
            <v>SET</v>
          </cell>
        </row>
        <row r="71">
          <cell r="C71">
            <v>311</v>
          </cell>
          <cell r="D71" t="str">
            <v>SPACE</v>
          </cell>
          <cell r="E71">
            <v>69200</v>
          </cell>
          <cell r="F71">
            <v>1000</v>
          </cell>
          <cell r="G71" t="str">
            <v>SET</v>
          </cell>
        </row>
        <row r="72">
          <cell r="C72">
            <v>171</v>
          </cell>
          <cell r="D72" t="str">
            <v>-  POWER PLUG 2P 15A. 250V.</v>
          </cell>
          <cell r="E72">
            <v>150</v>
          </cell>
          <cell r="F72">
            <v>80</v>
          </cell>
          <cell r="G72" t="str">
            <v>SET</v>
          </cell>
        </row>
        <row r="73">
          <cell r="C73">
            <v>172</v>
          </cell>
          <cell r="D73" t="str">
            <v>-  POWER PLUG 2P 20A. 250V.</v>
          </cell>
          <cell r="E73">
            <v>165</v>
          </cell>
          <cell r="F73">
            <v>80</v>
          </cell>
          <cell r="G73" t="str">
            <v>SET</v>
          </cell>
        </row>
        <row r="74">
          <cell r="C74">
            <v>173</v>
          </cell>
          <cell r="D74" t="str">
            <v>-  POWER PLUG 2P+G 15A. 250V.</v>
          </cell>
          <cell r="E74">
            <v>125</v>
          </cell>
          <cell r="F74">
            <v>80</v>
          </cell>
          <cell r="G74" t="str">
            <v>SET</v>
          </cell>
        </row>
        <row r="75">
          <cell r="C75">
            <v>174</v>
          </cell>
          <cell r="D75" t="str">
            <v>-  POWER PLUG 2P+G 20A. 250V.</v>
          </cell>
          <cell r="E75">
            <v>165</v>
          </cell>
          <cell r="F75">
            <v>80</v>
          </cell>
          <cell r="G75" t="str">
            <v>SET</v>
          </cell>
        </row>
        <row r="76">
          <cell r="C76">
            <v>175</v>
          </cell>
          <cell r="D76" t="str">
            <v>-  POWER PLUG 2P+G 30A. 250V.</v>
          </cell>
          <cell r="E76">
            <v>495</v>
          </cell>
          <cell r="F76">
            <v>100</v>
          </cell>
          <cell r="G76" t="str">
            <v>SET</v>
          </cell>
        </row>
        <row r="77">
          <cell r="C77">
            <v>176</v>
          </cell>
          <cell r="D77" t="str">
            <v>-  POWER PLUG 2P+G 50A. 250V.</v>
          </cell>
          <cell r="E77">
            <v>1780</v>
          </cell>
          <cell r="F77">
            <v>200</v>
          </cell>
          <cell r="G77" t="str">
            <v>SET</v>
          </cell>
        </row>
        <row r="78">
          <cell r="C78">
            <v>321</v>
          </cell>
          <cell r="D78" t="str">
            <v>SPACE</v>
          </cell>
          <cell r="E78">
            <v>7550</v>
          </cell>
          <cell r="F78">
            <v>200</v>
          </cell>
          <cell r="G78" t="str">
            <v>SET</v>
          </cell>
        </row>
        <row r="79">
          <cell r="C79">
            <v>181</v>
          </cell>
          <cell r="D79" t="str">
            <v>-  PUSH BUTTON BELL SWITCH</v>
          </cell>
          <cell r="E79">
            <v>160</v>
          </cell>
          <cell r="F79">
            <v>100</v>
          </cell>
          <cell r="G79" t="str">
            <v>SET</v>
          </cell>
        </row>
        <row r="80">
          <cell r="C80">
            <v>182</v>
          </cell>
          <cell r="D80" t="str">
            <v>-  BELL 220 VAC.</v>
          </cell>
          <cell r="E80">
            <v>330</v>
          </cell>
          <cell r="F80">
            <v>100</v>
          </cell>
          <cell r="G80" t="str">
            <v>SET</v>
          </cell>
        </row>
        <row r="81">
          <cell r="C81">
            <v>183</v>
          </cell>
          <cell r="D81" t="str">
            <v>-  BUZZER 220 VAC.</v>
          </cell>
          <cell r="E81">
            <v>330</v>
          </cell>
          <cell r="F81">
            <v>100</v>
          </cell>
          <cell r="G81" t="str">
            <v>SET</v>
          </cell>
        </row>
        <row r="82">
          <cell r="C82">
            <v>184</v>
          </cell>
          <cell r="D82" t="str">
            <v>-  DUTONE BELL</v>
          </cell>
          <cell r="E82">
            <v>200</v>
          </cell>
          <cell r="F82">
            <v>100</v>
          </cell>
          <cell r="G82" t="str">
            <v>SET</v>
          </cell>
        </row>
        <row r="83">
          <cell r="C83">
            <v>2</v>
          </cell>
          <cell r="D83" t="str">
            <v>ACCESSORIES</v>
          </cell>
          <cell r="E83">
            <v>0</v>
          </cell>
          <cell r="F83">
            <v>0</v>
          </cell>
          <cell r="G83" t="str">
            <v>SET</v>
          </cell>
        </row>
        <row r="84">
          <cell r="C84">
            <v>201</v>
          </cell>
          <cell r="D84" t="str">
            <v>-  SAFETY SWITCH 2P, 30A. FUSIBLE</v>
          </cell>
          <cell r="E84">
            <v>800</v>
          </cell>
          <cell r="F84">
            <v>100</v>
          </cell>
          <cell r="G84" t="str">
            <v>EA.</v>
          </cell>
        </row>
        <row r="85">
          <cell r="C85">
            <v>202</v>
          </cell>
          <cell r="D85" t="str">
            <v>-  SAFETY SWITCH 2P, 60A. FUSIBLE</v>
          </cell>
          <cell r="E85">
            <v>1700</v>
          </cell>
          <cell r="F85">
            <v>150</v>
          </cell>
          <cell r="G85" t="str">
            <v>EA.</v>
          </cell>
        </row>
        <row r="86">
          <cell r="C86">
            <v>203</v>
          </cell>
          <cell r="D86" t="str">
            <v>-  SAFETY SWITCH 2P, 100A. FUSIBLE</v>
          </cell>
          <cell r="E86">
            <v>2500</v>
          </cell>
          <cell r="F86">
            <v>200</v>
          </cell>
          <cell r="G86" t="str">
            <v>EA.</v>
          </cell>
        </row>
        <row r="87">
          <cell r="C87">
            <v>204</v>
          </cell>
          <cell r="D87" t="str">
            <v>-  SAFETY SWITCH 2P, 200A. FUSIBLE</v>
          </cell>
          <cell r="E87">
            <v>5000</v>
          </cell>
          <cell r="F87">
            <v>400</v>
          </cell>
          <cell r="G87" t="str">
            <v>EA.</v>
          </cell>
        </row>
        <row r="88">
          <cell r="C88">
            <v>205</v>
          </cell>
          <cell r="D88" t="str">
            <v>-  SAFETY SWITCH 2P, 400A. FUSIBLE</v>
          </cell>
          <cell r="E88">
            <v>16000</v>
          </cell>
          <cell r="F88">
            <v>500</v>
          </cell>
          <cell r="G88" t="str">
            <v>EA.</v>
          </cell>
        </row>
        <row r="89">
          <cell r="C89">
            <v>206</v>
          </cell>
          <cell r="D89" t="str">
            <v xml:space="preserve">-  SAFETY SWITCH 2P, 30A. NON-FUSIBLE </v>
          </cell>
          <cell r="E89">
            <v>900</v>
          </cell>
          <cell r="F89">
            <v>100</v>
          </cell>
          <cell r="G89" t="str">
            <v>EA.</v>
          </cell>
        </row>
        <row r="90">
          <cell r="C90">
            <v>207</v>
          </cell>
          <cell r="D90" t="str">
            <v xml:space="preserve">-  SAFETY SWITCH 2P, 60A. NON-FUSIBLE </v>
          </cell>
          <cell r="E90">
            <v>1100</v>
          </cell>
          <cell r="F90">
            <v>150</v>
          </cell>
          <cell r="G90" t="str">
            <v>EA.</v>
          </cell>
        </row>
        <row r="91">
          <cell r="C91">
            <v>208</v>
          </cell>
          <cell r="D91" t="str">
            <v xml:space="preserve">-  SAFETY SWITCH 2P, 100A. NON-FUSIBLE </v>
          </cell>
          <cell r="E91">
            <v>2200</v>
          </cell>
          <cell r="F91">
            <v>200</v>
          </cell>
          <cell r="G91" t="str">
            <v>EA.</v>
          </cell>
        </row>
        <row r="92">
          <cell r="C92">
            <v>209</v>
          </cell>
          <cell r="D92" t="str">
            <v xml:space="preserve">-  SAFETY SWITCH 2P, 200A. NON-FUSIBLE </v>
          </cell>
          <cell r="E92">
            <v>4800</v>
          </cell>
          <cell r="F92">
            <v>400</v>
          </cell>
          <cell r="G92" t="str">
            <v>EA.</v>
          </cell>
        </row>
        <row r="93">
          <cell r="C93">
            <v>210</v>
          </cell>
          <cell r="D93" t="str">
            <v>-  SAFETY SWITCH 2P, 30A. FUSIBLE , OUTDOOR TYPE</v>
          </cell>
          <cell r="E93">
            <v>1100</v>
          </cell>
          <cell r="F93">
            <v>100</v>
          </cell>
          <cell r="G93" t="str">
            <v>EA.</v>
          </cell>
        </row>
        <row r="94">
          <cell r="C94">
            <v>211</v>
          </cell>
          <cell r="D94" t="str">
            <v>-  SAFETY SWITCH 2P, 60A. FUSIBLE , OUTDOOR TYPE</v>
          </cell>
          <cell r="E94">
            <v>2000</v>
          </cell>
          <cell r="F94">
            <v>150</v>
          </cell>
          <cell r="G94" t="str">
            <v>EA.</v>
          </cell>
        </row>
        <row r="95">
          <cell r="C95">
            <v>212</v>
          </cell>
          <cell r="D95" t="str">
            <v>-  SAFETY SWITCH 2P, 100A. FUSIBLE , OUTDOOR TYPE</v>
          </cell>
          <cell r="E95">
            <v>3000</v>
          </cell>
          <cell r="F95">
            <v>200</v>
          </cell>
          <cell r="G95" t="str">
            <v>EA.</v>
          </cell>
        </row>
        <row r="96">
          <cell r="C96">
            <v>213</v>
          </cell>
          <cell r="D96" t="str">
            <v>-  SAFETY SWITCH 2P, 200A. FUSIBLE , OUTDOOR TYPE</v>
          </cell>
          <cell r="E96">
            <v>6000</v>
          </cell>
          <cell r="F96">
            <v>400</v>
          </cell>
          <cell r="G96" t="str">
            <v>EA.</v>
          </cell>
        </row>
        <row r="97">
          <cell r="C97">
            <v>214</v>
          </cell>
          <cell r="D97" t="str">
            <v>-  SAFETY SWITCH 2P, 400A. FUSIBLE , OUTDOOR TYPE</v>
          </cell>
          <cell r="E97">
            <v>20000</v>
          </cell>
          <cell r="F97">
            <v>500</v>
          </cell>
          <cell r="G97" t="str">
            <v>EA.</v>
          </cell>
        </row>
        <row r="98">
          <cell r="C98">
            <v>215</v>
          </cell>
          <cell r="D98" t="str">
            <v>-  SAFETY SWITCH 2P, 30A. NON-FUSE , OUTDOOR TYPE</v>
          </cell>
          <cell r="E98">
            <v>1000</v>
          </cell>
          <cell r="F98">
            <v>100</v>
          </cell>
          <cell r="G98" t="str">
            <v>EA.</v>
          </cell>
        </row>
        <row r="99">
          <cell r="C99">
            <v>216</v>
          </cell>
          <cell r="D99" t="str">
            <v>-  SAFETY SWITCH 2P, 60A. NON-FUSE , OUTDOOR TYPE</v>
          </cell>
          <cell r="E99">
            <v>1700</v>
          </cell>
          <cell r="F99">
            <v>150</v>
          </cell>
          <cell r="G99" t="str">
            <v>EA.</v>
          </cell>
        </row>
        <row r="100">
          <cell r="C100">
            <v>217</v>
          </cell>
          <cell r="D100" t="str">
            <v>-  SAFETY SWITCH 2P, 100A. NON-FUSE , OUTDOOR TYPE</v>
          </cell>
          <cell r="E100">
            <v>3800</v>
          </cell>
          <cell r="F100">
            <v>200</v>
          </cell>
          <cell r="G100" t="str">
            <v>EA.</v>
          </cell>
        </row>
        <row r="101">
          <cell r="C101">
            <v>218</v>
          </cell>
          <cell r="D101" t="str">
            <v>-  SAFETY SWITCH 2P, 200A. NON-FUSE , OUTDOOR TYPE</v>
          </cell>
          <cell r="E101">
            <v>7000</v>
          </cell>
          <cell r="F101">
            <v>400</v>
          </cell>
          <cell r="G101" t="str">
            <v>EA.</v>
          </cell>
        </row>
        <row r="102">
          <cell r="C102">
            <v>219</v>
          </cell>
          <cell r="D102" t="str">
            <v>-  SAFETY SWITCH 3P, 30A. FUSIBLE</v>
          </cell>
          <cell r="E102">
            <v>3200</v>
          </cell>
          <cell r="F102">
            <v>200</v>
          </cell>
          <cell r="G102" t="str">
            <v>EA.</v>
          </cell>
        </row>
        <row r="103">
          <cell r="C103">
            <v>220</v>
          </cell>
          <cell r="D103" t="str">
            <v>-  SAFETY SWITCH 3P, 60A. FUSIBLE</v>
          </cell>
          <cell r="E103">
            <v>4000</v>
          </cell>
          <cell r="F103">
            <v>300</v>
          </cell>
          <cell r="G103" t="str">
            <v>EA.</v>
          </cell>
        </row>
        <row r="104">
          <cell r="C104">
            <v>221</v>
          </cell>
          <cell r="D104" t="str">
            <v>-  SAFETY SWITCH 3P, 100A. FUSIBLE</v>
          </cell>
          <cell r="E104">
            <v>8000</v>
          </cell>
          <cell r="F104">
            <v>400</v>
          </cell>
          <cell r="G104" t="str">
            <v>EA.</v>
          </cell>
        </row>
        <row r="105">
          <cell r="C105">
            <v>222</v>
          </cell>
          <cell r="D105" t="str">
            <v>-  SAFETY SWITCH 3P, 200A. FUSIBLE</v>
          </cell>
          <cell r="E105">
            <v>11000</v>
          </cell>
          <cell r="F105">
            <v>400</v>
          </cell>
          <cell r="G105" t="str">
            <v>EA.</v>
          </cell>
        </row>
        <row r="106">
          <cell r="C106">
            <v>223</v>
          </cell>
          <cell r="D106" t="str">
            <v>-  SAFETY SWITCH 3P, 400A. FUSIBLE</v>
          </cell>
          <cell r="E106">
            <v>32000</v>
          </cell>
          <cell r="F106">
            <v>500</v>
          </cell>
          <cell r="G106" t="str">
            <v>EA.</v>
          </cell>
        </row>
        <row r="107">
          <cell r="C107">
            <v>224</v>
          </cell>
          <cell r="D107" t="str">
            <v>-  SAFETY SWITCH 3P, 600A. FUSIBLE</v>
          </cell>
          <cell r="E107">
            <v>50000</v>
          </cell>
          <cell r="F107">
            <v>500</v>
          </cell>
          <cell r="G107" t="str">
            <v>EA.</v>
          </cell>
        </row>
        <row r="108">
          <cell r="C108">
            <v>225</v>
          </cell>
          <cell r="D108" t="str">
            <v>-  SAFETY SWITCH 3P, 800A. FUSIBLE</v>
          </cell>
          <cell r="E108">
            <v>82000</v>
          </cell>
          <cell r="F108">
            <v>1000</v>
          </cell>
          <cell r="G108" t="str">
            <v>EA.</v>
          </cell>
        </row>
        <row r="109">
          <cell r="C109">
            <v>226</v>
          </cell>
          <cell r="D109" t="str">
            <v>-  SAFETY SWITCH 3P, 1,200A. FUSIBLE</v>
          </cell>
          <cell r="E109">
            <v>110000</v>
          </cell>
          <cell r="F109">
            <v>1000</v>
          </cell>
          <cell r="G109" t="str">
            <v>EA.</v>
          </cell>
        </row>
        <row r="110">
          <cell r="C110">
            <v>227</v>
          </cell>
          <cell r="D110" t="str">
            <v xml:space="preserve">-  SAFETY SWITCH 3P, 30A. NON-FUSE </v>
          </cell>
          <cell r="E110">
            <v>2000</v>
          </cell>
          <cell r="F110">
            <v>200</v>
          </cell>
          <cell r="G110" t="str">
            <v>EA.</v>
          </cell>
        </row>
        <row r="111">
          <cell r="C111">
            <v>228</v>
          </cell>
          <cell r="D111" t="str">
            <v xml:space="preserve">-  SAFETY SWITCH 3P, 60A. NON-FUSE </v>
          </cell>
          <cell r="E111">
            <v>3000</v>
          </cell>
          <cell r="F111">
            <v>300</v>
          </cell>
          <cell r="G111" t="str">
            <v>EA.</v>
          </cell>
        </row>
        <row r="112">
          <cell r="C112">
            <v>229</v>
          </cell>
          <cell r="D112" t="str">
            <v xml:space="preserve">-  SAFETY SWITCH 3P, 100A. NON-FUSE </v>
          </cell>
          <cell r="E112">
            <v>5000</v>
          </cell>
          <cell r="F112">
            <v>400</v>
          </cell>
          <cell r="G112" t="str">
            <v>EA.</v>
          </cell>
        </row>
        <row r="113">
          <cell r="C113">
            <v>230</v>
          </cell>
          <cell r="D113" t="str">
            <v xml:space="preserve">-  SAFETY SWITCH 3P, 200A. NON-FUSE </v>
          </cell>
          <cell r="E113">
            <v>11000</v>
          </cell>
          <cell r="F113">
            <v>400</v>
          </cell>
          <cell r="G113" t="str">
            <v>EA.</v>
          </cell>
        </row>
        <row r="114">
          <cell r="C114">
            <v>231</v>
          </cell>
          <cell r="D114" t="str">
            <v xml:space="preserve">-  SAFETY SWITCH 3P, 400A. NON-FUSE </v>
          </cell>
          <cell r="E114">
            <v>30000</v>
          </cell>
          <cell r="F114">
            <v>500</v>
          </cell>
          <cell r="G114" t="str">
            <v>EA.</v>
          </cell>
        </row>
        <row r="115">
          <cell r="C115">
            <v>232</v>
          </cell>
          <cell r="D115" t="str">
            <v xml:space="preserve">-  SAFETY SWITCH 3P, 600A. NON-FUSE </v>
          </cell>
          <cell r="E115">
            <v>50000</v>
          </cell>
          <cell r="F115">
            <v>500</v>
          </cell>
          <cell r="G115" t="str">
            <v>EA.</v>
          </cell>
        </row>
        <row r="116">
          <cell r="C116">
            <v>233</v>
          </cell>
          <cell r="D116" t="str">
            <v>-  SAFETY SWITCH 3P, 30A. FUSIBLE , OUTDOOR TYPE</v>
          </cell>
          <cell r="E116">
            <v>5000</v>
          </cell>
          <cell r="F116">
            <v>200</v>
          </cell>
          <cell r="G116" t="str">
            <v>EA.</v>
          </cell>
        </row>
        <row r="117">
          <cell r="C117">
            <v>234</v>
          </cell>
          <cell r="D117" t="str">
            <v>-  SAFETY SWITCH 3P, 60A. FUSIBLE , OUTDOOR TYPE</v>
          </cell>
          <cell r="E117">
            <v>6000</v>
          </cell>
          <cell r="F117">
            <v>300</v>
          </cell>
          <cell r="G117" t="str">
            <v>EA.</v>
          </cell>
        </row>
        <row r="118">
          <cell r="C118">
            <v>235</v>
          </cell>
          <cell r="D118" t="str">
            <v>-  SAFETY SWITCH 3P, 100A. FUSIBLE , OUTDOOR TYPE</v>
          </cell>
          <cell r="E118">
            <v>10000</v>
          </cell>
          <cell r="F118">
            <v>400</v>
          </cell>
          <cell r="G118" t="str">
            <v>EA.</v>
          </cell>
        </row>
        <row r="119">
          <cell r="C119">
            <v>236</v>
          </cell>
          <cell r="D119" t="str">
            <v>-  SAFETY SWITCH 3P, 200A. FUSIBLE , OUTDOOR TYPE</v>
          </cell>
          <cell r="E119">
            <v>13000</v>
          </cell>
          <cell r="F119">
            <v>400</v>
          </cell>
          <cell r="G119" t="str">
            <v>EA.</v>
          </cell>
        </row>
        <row r="120">
          <cell r="C120">
            <v>237</v>
          </cell>
          <cell r="D120" t="str">
            <v>-  SAFETY SWITCH 3P, 400A. FUSIBLE , OUTDOOR TYPE</v>
          </cell>
          <cell r="E120">
            <v>35000</v>
          </cell>
          <cell r="F120">
            <v>500</v>
          </cell>
          <cell r="G120" t="str">
            <v>EA.</v>
          </cell>
        </row>
        <row r="121">
          <cell r="C121">
            <v>238</v>
          </cell>
          <cell r="D121" t="str">
            <v>-  SAFETY SWITCH 3P, 600A. FUSIBLE , OUTDOOR TYPE</v>
          </cell>
          <cell r="E121">
            <v>60000</v>
          </cell>
          <cell r="F121">
            <v>500</v>
          </cell>
          <cell r="G121" t="str">
            <v>EA.</v>
          </cell>
        </row>
        <row r="122">
          <cell r="C122">
            <v>239</v>
          </cell>
          <cell r="D122" t="str">
            <v>-  SAFETY SWITCH 3P, 800A. FUSIBLE , OUTDOOR TYPE</v>
          </cell>
          <cell r="E122">
            <v>100000</v>
          </cell>
          <cell r="F122">
            <v>1000</v>
          </cell>
          <cell r="G122" t="str">
            <v>EA.</v>
          </cell>
        </row>
        <row r="123">
          <cell r="C123">
            <v>240</v>
          </cell>
          <cell r="D123" t="str">
            <v>-  SAFETY SWITCH 3P, 1,200A. FUSIBLE , OUTDOOR TYPE</v>
          </cell>
          <cell r="E123">
            <v>120000</v>
          </cell>
          <cell r="F123">
            <v>1000</v>
          </cell>
          <cell r="G123" t="str">
            <v>EA.</v>
          </cell>
        </row>
        <row r="124">
          <cell r="C124">
            <v>241</v>
          </cell>
          <cell r="D124" t="str">
            <v>-  SAFETY SWITCH 3P, 30A. NON-FUSE , OUTDOOR TYPE</v>
          </cell>
          <cell r="E124">
            <v>2800</v>
          </cell>
          <cell r="F124">
            <v>200</v>
          </cell>
          <cell r="G124" t="str">
            <v>EA.</v>
          </cell>
        </row>
        <row r="125">
          <cell r="C125">
            <v>242</v>
          </cell>
          <cell r="D125" t="str">
            <v>-  SAFETY SWITCH 3P, 60A. NON-FUSE , OUTDOOR TYPE</v>
          </cell>
          <cell r="E125">
            <v>5000</v>
          </cell>
          <cell r="F125">
            <v>300</v>
          </cell>
          <cell r="G125" t="str">
            <v>EA.</v>
          </cell>
        </row>
        <row r="126">
          <cell r="C126">
            <v>243</v>
          </cell>
          <cell r="D126" t="str">
            <v>-  SAFETY SWITCH 3P, 100A. NON-FUSE , OUTDOOR TYPE</v>
          </cell>
          <cell r="E126">
            <v>7000</v>
          </cell>
          <cell r="F126">
            <v>400</v>
          </cell>
          <cell r="G126" t="str">
            <v>EA.</v>
          </cell>
        </row>
        <row r="127">
          <cell r="C127">
            <v>244</v>
          </cell>
          <cell r="D127" t="str">
            <v>-  SAFETY SWITCH 3P, 200A. NON-FUSE , OUTDOOR TYPE</v>
          </cell>
          <cell r="E127">
            <v>14000</v>
          </cell>
          <cell r="F127">
            <v>400</v>
          </cell>
          <cell r="G127" t="str">
            <v>EA.</v>
          </cell>
        </row>
        <row r="128">
          <cell r="C128">
            <v>245</v>
          </cell>
          <cell r="D128" t="str">
            <v>-  SAFETY SWITCH 3P, 400A. NON-FUSE , OUTDOOR TYPE</v>
          </cell>
          <cell r="E128">
            <v>33000</v>
          </cell>
          <cell r="F128">
            <v>500</v>
          </cell>
          <cell r="G128" t="str">
            <v>EA.</v>
          </cell>
        </row>
        <row r="129">
          <cell r="C129">
            <v>246</v>
          </cell>
          <cell r="D129" t="str">
            <v>-  SAFETY SWITCH 3P, 600A. NON-FUSE , OUTDOOR TYPE</v>
          </cell>
          <cell r="E129">
            <v>60000</v>
          </cell>
          <cell r="F129">
            <v>500</v>
          </cell>
          <cell r="G129" t="str">
            <v>EA.</v>
          </cell>
        </row>
        <row r="130">
          <cell r="C130">
            <v>409</v>
          </cell>
          <cell r="D130" t="str">
            <v>SPACE</v>
          </cell>
          <cell r="E130">
            <v>2830</v>
          </cell>
          <cell r="F130">
            <v>200</v>
          </cell>
          <cell r="G130" t="str">
            <v>SET</v>
          </cell>
        </row>
        <row r="131">
          <cell r="C131">
            <v>251</v>
          </cell>
          <cell r="D131" t="str">
            <v>-  CB 1P 10A. 5KA. W./ENCLOSURE</v>
          </cell>
          <cell r="E131">
            <v>410</v>
          </cell>
          <cell r="F131">
            <v>100</v>
          </cell>
          <cell r="G131" t="str">
            <v>EA.</v>
          </cell>
        </row>
        <row r="132">
          <cell r="C132">
            <v>252</v>
          </cell>
          <cell r="D132" t="str">
            <v>-  CB 1P 15A. 5KA. W./ENCLOSURE</v>
          </cell>
          <cell r="E132">
            <v>410</v>
          </cell>
          <cell r="F132">
            <v>100</v>
          </cell>
          <cell r="G132" t="str">
            <v>EA.</v>
          </cell>
        </row>
        <row r="133">
          <cell r="C133">
            <v>253</v>
          </cell>
          <cell r="D133" t="str">
            <v>-  CB 1P 20A. 5KA. W./ENCLOSURE</v>
          </cell>
          <cell r="E133">
            <v>410</v>
          </cell>
          <cell r="F133">
            <v>100</v>
          </cell>
          <cell r="G133" t="str">
            <v>EA.</v>
          </cell>
        </row>
        <row r="134">
          <cell r="C134">
            <v>254</v>
          </cell>
          <cell r="D134" t="str">
            <v>-  CB 1P 30A. 5KA. W./ENCLOSURE</v>
          </cell>
          <cell r="E134">
            <v>410</v>
          </cell>
          <cell r="F134">
            <v>100</v>
          </cell>
          <cell r="G134" t="str">
            <v>EA.</v>
          </cell>
        </row>
        <row r="135">
          <cell r="C135">
            <v>255</v>
          </cell>
          <cell r="D135" t="str">
            <v>-  CB 1P 40A. 5KA. W./ENCLOSURE</v>
          </cell>
          <cell r="E135">
            <v>480</v>
          </cell>
          <cell r="F135">
            <v>100</v>
          </cell>
          <cell r="G135" t="str">
            <v>EA.</v>
          </cell>
        </row>
        <row r="136">
          <cell r="C136">
            <v>256</v>
          </cell>
          <cell r="D136" t="str">
            <v>-  CB 2P 15A. 10KA. W./ENCLOSURE</v>
          </cell>
          <cell r="E136">
            <v>730</v>
          </cell>
          <cell r="F136">
            <v>100</v>
          </cell>
          <cell r="G136" t="str">
            <v>EA.</v>
          </cell>
        </row>
        <row r="137">
          <cell r="C137">
            <v>257</v>
          </cell>
          <cell r="D137" t="str">
            <v>-  CB 2P 30A. 10KA. W./ENCLOSURE</v>
          </cell>
          <cell r="E137">
            <v>730</v>
          </cell>
          <cell r="F137">
            <v>100</v>
          </cell>
          <cell r="G137" t="str">
            <v>EA.</v>
          </cell>
        </row>
        <row r="138">
          <cell r="C138">
            <v>258</v>
          </cell>
          <cell r="D138" t="str">
            <v>-  CB 2P 40A. 10KA. W./ENCLOSURE</v>
          </cell>
          <cell r="E138">
            <v>730</v>
          </cell>
          <cell r="F138">
            <v>100</v>
          </cell>
          <cell r="G138" t="str">
            <v>EA.</v>
          </cell>
        </row>
        <row r="139">
          <cell r="C139">
            <v>259</v>
          </cell>
          <cell r="D139" t="str">
            <v>-  CB 2P 50A. 10KA. W./ENCLOSURE</v>
          </cell>
          <cell r="E139">
            <v>730</v>
          </cell>
          <cell r="F139">
            <v>100</v>
          </cell>
          <cell r="G139" t="str">
            <v>EA.</v>
          </cell>
        </row>
        <row r="140">
          <cell r="C140">
            <v>260</v>
          </cell>
          <cell r="D140" t="str">
            <v>-  CB 2P 60A. 10KA. W./ENCLOSURE</v>
          </cell>
          <cell r="E140">
            <v>880</v>
          </cell>
          <cell r="F140">
            <v>100</v>
          </cell>
          <cell r="G140" t="str">
            <v>EA.</v>
          </cell>
        </row>
        <row r="141">
          <cell r="C141">
            <v>261</v>
          </cell>
          <cell r="D141" t="str">
            <v>-  RCB 1P 10A., 5KA.,10mA. W./ENCLOSURE</v>
          </cell>
          <cell r="E141">
            <v>1780</v>
          </cell>
          <cell r="F141">
            <v>150</v>
          </cell>
          <cell r="G141" t="str">
            <v>EA.</v>
          </cell>
        </row>
        <row r="142">
          <cell r="C142">
            <v>262</v>
          </cell>
          <cell r="D142" t="str">
            <v>-  RCB 1P 15A., 5KA.,10mA. W./ENCLOSURE</v>
          </cell>
          <cell r="E142">
            <v>1780</v>
          </cell>
          <cell r="F142">
            <v>150</v>
          </cell>
          <cell r="G142" t="str">
            <v>EA.</v>
          </cell>
        </row>
        <row r="143">
          <cell r="C143">
            <v>263</v>
          </cell>
          <cell r="D143" t="str">
            <v>-  RCB 1P 20A., 5KA.,10mA. W./ENCLOSURE</v>
          </cell>
          <cell r="E143">
            <v>1780</v>
          </cell>
          <cell r="F143">
            <v>150</v>
          </cell>
          <cell r="G143" t="str">
            <v>EA.</v>
          </cell>
        </row>
        <row r="144">
          <cell r="C144">
            <v>264</v>
          </cell>
          <cell r="D144" t="str">
            <v>-  RCB 1P 30A., 5KA.,10mA. W./ENCLOSURE</v>
          </cell>
          <cell r="E144">
            <v>1780</v>
          </cell>
          <cell r="F144">
            <v>150</v>
          </cell>
          <cell r="G144" t="str">
            <v>EA.</v>
          </cell>
        </row>
        <row r="145">
          <cell r="C145">
            <v>265</v>
          </cell>
          <cell r="D145" t="str">
            <v>-  RCB 1P 40A., 5KA.,10mA. W./ENCLOSURE</v>
          </cell>
          <cell r="E145">
            <v>2680</v>
          </cell>
          <cell r="F145">
            <v>150</v>
          </cell>
          <cell r="G145" t="str">
            <v>EA.</v>
          </cell>
        </row>
        <row r="146">
          <cell r="C146">
            <v>266</v>
          </cell>
          <cell r="D146" t="str">
            <v>-  RCB 1P 15A., 10KA.,10mA. W./ENCLOSURE</v>
          </cell>
          <cell r="E146">
            <v>3080</v>
          </cell>
          <cell r="F146">
            <v>150</v>
          </cell>
          <cell r="G146" t="str">
            <v>EA.</v>
          </cell>
        </row>
        <row r="147">
          <cell r="C147">
            <v>267</v>
          </cell>
          <cell r="D147" t="str">
            <v>-  RCB 1P 30A., 10KA.,10mA. W./ENCLOSURE</v>
          </cell>
          <cell r="E147">
            <v>3080</v>
          </cell>
          <cell r="F147">
            <v>150</v>
          </cell>
          <cell r="G147" t="str">
            <v>EA.</v>
          </cell>
        </row>
        <row r="148">
          <cell r="C148">
            <v>268</v>
          </cell>
          <cell r="D148" t="str">
            <v>-  RCB 1P 40A., 10KA.,10mA. W./ENCLOSURE</v>
          </cell>
          <cell r="E148">
            <v>3080</v>
          </cell>
          <cell r="F148">
            <v>150</v>
          </cell>
          <cell r="G148" t="str">
            <v>EA.</v>
          </cell>
        </row>
        <row r="149">
          <cell r="C149">
            <v>269</v>
          </cell>
          <cell r="D149" t="str">
            <v>-  RCB 1P 50A., 10KA.,10mA. W./ENCLOSURE</v>
          </cell>
          <cell r="E149">
            <v>3080</v>
          </cell>
          <cell r="F149">
            <v>150</v>
          </cell>
          <cell r="G149" t="str">
            <v>EA.</v>
          </cell>
        </row>
        <row r="150">
          <cell r="C150">
            <v>270</v>
          </cell>
          <cell r="D150" t="str">
            <v>-  RCB 1P 60A., 10KA.,10mA. W./ENCLOSURE</v>
          </cell>
          <cell r="E150">
            <v>3080</v>
          </cell>
          <cell r="F150">
            <v>150</v>
          </cell>
          <cell r="G150" t="str">
            <v>EA.</v>
          </cell>
        </row>
        <row r="151">
          <cell r="C151">
            <v>271</v>
          </cell>
          <cell r="D151" t="str">
            <v>-  MAGNETIC CONTACTOR 3P 6A. AC3</v>
          </cell>
          <cell r="E151">
            <v>530</v>
          </cell>
          <cell r="F151">
            <v>100</v>
          </cell>
          <cell r="G151" t="str">
            <v>EA.</v>
          </cell>
        </row>
        <row r="152">
          <cell r="C152">
            <v>272</v>
          </cell>
          <cell r="D152" t="str">
            <v>-  MAGNETIC CONTACTOR 3P 9A. AC3</v>
          </cell>
          <cell r="E152">
            <v>580</v>
          </cell>
          <cell r="F152">
            <v>100</v>
          </cell>
          <cell r="G152" t="str">
            <v>EA.</v>
          </cell>
        </row>
        <row r="153">
          <cell r="C153">
            <v>273</v>
          </cell>
          <cell r="D153" t="str">
            <v>-  MAGNETIC CONTACTOR 3P 12A. AC3</v>
          </cell>
          <cell r="E153">
            <v>660</v>
          </cell>
          <cell r="F153">
            <v>100</v>
          </cell>
          <cell r="G153" t="str">
            <v>EA.</v>
          </cell>
        </row>
        <row r="154">
          <cell r="C154">
            <v>274</v>
          </cell>
          <cell r="D154" t="str">
            <v>-  MAGNETIC CONTACTOR 3P 18A. AC3</v>
          </cell>
          <cell r="E154">
            <v>930</v>
          </cell>
          <cell r="F154">
            <v>100</v>
          </cell>
          <cell r="G154" t="str">
            <v>EA.</v>
          </cell>
        </row>
        <row r="155">
          <cell r="C155">
            <v>275</v>
          </cell>
          <cell r="D155" t="str">
            <v>-  MAGNETIC CONTACTOR 3P 25A. AC3</v>
          </cell>
          <cell r="E155">
            <v>1150</v>
          </cell>
          <cell r="F155">
            <v>100</v>
          </cell>
          <cell r="G155" t="str">
            <v>EA.</v>
          </cell>
        </row>
        <row r="156">
          <cell r="C156">
            <v>276</v>
          </cell>
          <cell r="D156" t="str">
            <v>-  MAGNETIC CONTACTOR 3P 32A. AC3</v>
          </cell>
          <cell r="E156">
            <v>1550</v>
          </cell>
          <cell r="F156">
            <v>100</v>
          </cell>
          <cell r="G156" t="str">
            <v>EA.</v>
          </cell>
        </row>
        <row r="157">
          <cell r="C157">
            <v>277</v>
          </cell>
          <cell r="D157" t="str">
            <v>-  MAGNETIC CONTACTOR 3P 40A. AC3</v>
          </cell>
          <cell r="E157">
            <v>2100</v>
          </cell>
          <cell r="F157">
            <v>100</v>
          </cell>
          <cell r="G157" t="str">
            <v>EA.</v>
          </cell>
        </row>
        <row r="158">
          <cell r="C158">
            <v>278</v>
          </cell>
          <cell r="D158" t="str">
            <v>-  MAGNETIC CONTACTOR 3P 50A. AC3</v>
          </cell>
          <cell r="E158">
            <v>2700</v>
          </cell>
          <cell r="F158">
            <v>100</v>
          </cell>
          <cell r="G158" t="str">
            <v>EA.</v>
          </cell>
        </row>
        <row r="159">
          <cell r="C159">
            <v>279</v>
          </cell>
          <cell r="D159" t="str">
            <v>-  MAGNETIC CONTACTOR 3P 65A. AC3</v>
          </cell>
          <cell r="E159">
            <v>3100</v>
          </cell>
          <cell r="F159">
            <v>150</v>
          </cell>
          <cell r="G159" t="str">
            <v>EA.</v>
          </cell>
        </row>
        <row r="160">
          <cell r="C160">
            <v>280</v>
          </cell>
          <cell r="D160" t="str">
            <v>-  MAGNETIC CONTACTOR 3P 80A. AC3</v>
          </cell>
          <cell r="E160">
            <v>3830</v>
          </cell>
          <cell r="F160">
            <v>200</v>
          </cell>
          <cell r="G160" t="str">
            <v>EA.</v>
          </cell>
        </row>
        <row r="161">
          <cell r="C161">
            <v>281</v>
          </cell>
          <cell r="D161" t="str">
            <v>-  MAGNETIC CONTACTOR 3P 100A. AC3</v>
          </cell>
          <cell r="E161">
            <v>4480</v>
          </cell>
          <cell r="F161">
            <v>200</v>
          </cell>
          <cell r="G161" t="str">
            <v>EA.</v>
          </cell>
        </row>
        <row r="162">
          <cell r="C162">
            <v>282</v>
          </cell>
          <cell r="D162" t="str">
            <v>-  MAGNETIC CONTACTOR 3P 110A. AC3</v>
          </cell>
          <cell r="E162">
            <v>5120</v>
          </cell>
          <cell r="F162">
            <v>200</v>
          </cell>
          <cell r="G162" t="str">
            <v>EA.</v>
          </cell>
        </row>
        <row r="163">
          <cell r="C163">
            <v>283</v>
          </cell>
          <cell r="D163" t="str">
            <v>-  MAGNETIC CONTACTOR 3P 150A. AC3</v>
          </cell>
          <cell r="E163">
            <v>9200</v>
          </cell>
          <cell r="F163">
            <v>200</v>
          </cell>
          <cell r="G163" t="str">
            <v>EA.</v>
          </cell>
        </row>
        <row r="164">
          <cell r="C164">
            <v>284</v>
          </cell>
          <cell r="D164" t="str">
            <v>-  MAGNETIC CONTACTOR 3P 185A. AC3</v>
          </cell>
          <cell r="E164">
            <v>10920</v>
          </cell>
          <cell r="F164">
            <v>300</v>
          </cell>
          <cell r="G164" t="str">
            <v>EA.</v>
          </cell>
        </row>
        <row r="165">
          <cell r="C165">
            <v>285</v>
          </cell>
          <cell r="D165" t="str">
            <v>-  MAGNETIC CONTACTOR 3P 200A. AC3</v>
          </cell>
          <cell r="E165">
            <v>12500</v>
          </cell>
          <cell r="F165">
            <v>300</v>
          </cell>
          <cell r="G165" t="str">
            <v>EA.</v>
          </cell>
        </row>
        <row r="166">
          <cell r="C166">
            <v>286</v>
          </cell>
          <cell r="D166" t="str">
            <v>-  MAGNETIC CONTACTOR 3P 265A. AC3</v>
          </cell>
          <cell r="E166">
            <v>16500</v>
          </cell>
          <cell r="F166">
            <v>300</v>
          </cell>
          <cell r="G166" t="str">
            <v>EA.</v>
          </cell>
        </row>
        <row r="167">
          <cell r="C167">
            <v>287</v>
          </cell>
          <cell r="D167" t="str">
            <v>-  MAGNETIC CONTACTOR 3P 300A. AC3</v>
          </cell>
          <cell r="E167">
            <v>22000</v>
          </cell>
          <cell r="F167">
            <v>400</v>
          </cell>
          <cell r="G167" t="str">
            <v>EA.</v>
          </cell>
        </row>
        <row r="168">
          <cell r="C168">
            <v>288</v>
          </cell>
          <cell r="D168" t="str">
            <v>-  MAGNETIC CONTACTOR 3P 410A. AC3</v>
          </cell>
          <cell r="E168">
            <v>24900</v>
          </cell>
          <cell r="F168">
            <v>400</v>
          </cell>
          <cell r="G168" t="str">
            <v>EA.</v>
          </cell>
        </row>
        <row r="169">
          <cell r="C169">
            <v>289</v>
          </cell>
          <cell r="D169" t="str">
            <v>-  MAGNETIC CONTACTOR 3P 450A. AC3</v>
          </cell>
          <cell r="E169">
            <v>28460</v>
          </cell>
          <cell r="F169">
            <v>400</v>
          </cell>
          <cell r="G169" t="str">
            <v>EA.</v>
          </cell>
        </row>
        <row r="170">
          <cell r="C170">
            <v>290</v>
          </cell>
          <cell r="D170" t="str">
            <v>-  MAGNETIC CONTACTOR 3P 630A. AC3</v>
          </cell>
          <cell r="E170">
            <v>35240</v>
          </cell>
          <cell r="F170">
            <v>500</v>
          </cell>
          <cell r="G170" t="str">
            <v>EA.</v>
          </cell>
        </row>
        <row r="171">
          <cell r="C171">
            <v>291</v>
          </cell>
          <cell r="D171" t="str">
            <v>-  MAGNETIC CONTACTOR 3P 800A. AC3</v>
          </cell>
          <cell r="E171">
            <v>52780</v>
          </cell>
          <cell r="F171">
            <v>700</v>
          </cell>
          <cell r="G171" t="str">
            <v>EA.</v>
          </cell>
        </row>
        <row r="172">
          <cell r="C172">
            <v>292</v>
          </cell>
          <cell r="D172" t="str">
            <v>-  MAGNETIC CONTACTOR 3P 1,000A. AC3</v>
          </cell>
          <cell r="E172">
            <v>111700</v>
          </cell>
          <cell r="F172">
            <v>1000</v>
          </cell>
          <cell r="G172" t="str">
            <v>EA.</v>
          </cell>
        </row>
        <row r="173">
          <cell r="C173">
            <v>514</v>
          </cell>
          <cell r="D173" t="str">
            <v>SPACE</v>
          </cell>
          <cell r="E173">
            <v>4800</v>
          </cell>
          <cell r="F173">
            <v>1000</v>
          </cell>
          <cell r="G173" t="str">
            <v>SET</v>
          </cell>
        </row>
        <row r="174">
          <cell r="C174">
            <v>296</v>
          </cell>
          <cell r="D174" t="str">
            <v>-  6A. CONTROL RELAY</v>
          </cell>
          <cell r="E174">
            <v>1000</v>
          </cell>
          <cell r="F174">
            <v>100</v>
          </cell>
          <cell r="G174" t="str">
            <v>EA.</v>
          </cell>
        </row>
        <row r="175">
          <cell r="C175">
            <v>516</v>
          </cell>
          <cell r="D175" t="str">
            <v>-  BAR CODE READER</v>
          </cell>
          <cell r="E175">
            <v>7000</v>
          </cell>
          <cell r="F175">
            <v>1000</v>
          </cell>
          <cell r="G175" t="str">
            <v>SET</v>
          </cell>
        </row>
        <row r="176">
          <cell r="C176">
            <v>517</v>
          </cell>
          <cell r="D176" t="str">
            <v>-  SMART CARD READER WITH KEY PAD &amp; DISPLAY</v>
          </cell>
          <cell r="E176" t="str">
            <v>(ON REQ)</v>
          </cell>
          <cell r="F176">
            <v>0</v>
          </cell>
          <cell r="G176" t="str">
            <v>SET</v>
          </cell>
        </row>
        <row r="177">
          <cell r="C177">
            <v>840</v>
          </cell>
          <cell r="D177" t="str">
            <v>SPACE</v>
          </cell>
          <cell r="E177">
            <v>25000</v>
          </cell>
          <cell r="F177">
            <v>800</v>
          </cell>
          <cell r="G177" t="str">
            <v>M.</v>
          </cell>
        </row>
        <row r="178">
          <cell r="C178">
            <v>841</v>
          </cell>
          <cell r="D178" t="str">
            <v>CARD</v>
          </cell>
          <cell r="E178">
            <v>28000</v>
          </cell>
          <cell r="F178">
            <v>800</v>
          </cell>
          <cell r="G178" t="str">
            <v>M.</v>
          </cell>
        </row>
        <row r="179">
          <cell r="C179">
            <v>521</v>
          </cell>
          <cell r="D179" t="str">
            <v>-  CUSTOMER LOGO CARD</v>
          </cell>
          <cell r="E179">
            <v>100</v>
          </cell>
          <cell r="F179">
            <v>0</v>
          </cell>
          <cell r="G179" t="str">
            <v>SET</v>
          </cell>
        </row>
        <row r="180">
          <cell r="C180">
            <v>843</v>
          </cell>
          <cell r="D180" t="str">
            <v>SPACE</v>
          </cell>
          <cell r="E180">
            <v>50000</v>
          </cell>
          <cell r="F180">
            <v>1000</v>
          </cell>
          <cell r="G180" t="str">
            <v>M.</v>
          </cell>
        </row>
        <row r="181">
          <cell r="C181">
            <v>844</v>
          </cell>
          <cell r="D181" t="str">
            <v>COMMUNICATOR</v>
          </cell>
          <cell r="E181">
            <v>67000</v>
          </cell>
          <cell r="F181">
            <v>1000</v>
          </cell>
          <cell r="G181" t="str">
            <v>M.</v>
          </cell>
        </row>
        <row r="182">
          <cell r="C182">
            <v>526</v>
          </cell>
          <cell r="D182" t="str">
            <v>-  SERIAL COMMUNICATOR LINK UP TO 16 CONTROLLERS</v>
          </cell>
          <cell r="E182">
            <v>15000</v>
          </cell>
          <cell r="F182">
            <v>5000</v>
          </cell>
          <cell r="G182" t="str">
            <v>SET</v>
          </cell>
        </row>
        <row r="183">
          <cell r="C183">
            <v>527</v>
          </cell>
          <cell r="D183" t="str">
            <v>-  PARALLEL COMMUNICATOR LINK UP TO 16 CONTROLLERS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-  INTELLIGENT COMMUNICATOR LINK UP TO 64 CONTROLLERS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851</v>
          </cell>
          <cell r="D185" t="str">
            <v>SOFTWARE MANAGEMENT</v>
          </cell>
          <cell r="E185">
            <v>13000</v>
          </cell>
          <cell r="F185">
            <v>500</v>
          </cell>
          <cell r="G185" t="str">
            <v>M.</v>
          </cell>
        </row>
        <row r="186">
          <cell r="C186">
            <v>852</v>
          </cell>
          <cell r="D186" t="str">
            <v>-  16 CONTROLLERS ACCESS CONTROL MANAGEMENT</v>
          </cell>
          <cell r="E186">
            <v>22000</v>
          </cell>
          <cell r="F186">
            <v>10000</v>
          </cell>
          <cell r="G186" t="str">
            <v>SET</v>
          </cell>
        </row>
        <row r="187">
          <cell r="C187">
            <v>853</v>
          </cell>
          <cell r="D187" t="str">
            <v>-  64 CONTROLLERS ACCESS CONTROL MANAGEMENT</v>
          </cell>
          <cell r="E187">
            <v>35000</v>
          </cell>
          <cell r="F187">
            <v>15000</v>
          </cell>
          <cell r="G187" t="str">
            <v>SET</v>
          </cell>
        </row>
        <row r="188">
          <cell r="C188">
            <v>854</v>
          </cell>
          <cell r="D188" t="str">
            <v>-  AL. RISER BUSDUCT 1,350 A.</v>
          </cell>
          <cell r="E188">
            <v>15000</v>
          </cell>
          <cell r="F188">
            <v>700</v>
          </cell>
          <cell r="G188" t="str">
            <v>M.</v>
          </cell>
        </row>
        <row r="189">
          <cell r="C189">
            <v>855</v>
          </cell>
          <cell r="D189" t="str">
            <v>-  AL. RISER BUSDUCT 1,600 A.</v>
          </cell>
          <cell r="E189">
            <v>16000</v>
          </cell>
          <cell r="F189">
            <v>800</v>
          </cell>
          <cell r="G189" t="str">
            <v>M.</v>
          </cell>
        </row>
        <row r="190">
          <cell r="C190">
            <v>856</v>
          </cell>
          <cell r="D190" t="str">
            <v>-  AL. RISER BUSDUCT 2,000 A.</v>
          </cell>
          <cell r="E190">
            <v>25000</v>
          </cell>
          <cell r="F190">
            <v>800</v>
          </cell>
          <cell r="G190" t="str">
            <v>M.</v>
          </cell>
        </row>
        <row r="191">
          <cell r="C191">
            <v>857</v>
          </cell>
          <cell r="D191" t="str">
            <v>-  AL. RISER BUSDUCT 2,500 A.</v>
          </cell>
          <cell r="E191">
            <v>26600</v>
          </cell>
          <cell r="F191">
            <v>1000</v>
          </cell>
          <cell r="G191" t="str">
            <v>M.</v>
          </cell>
        </row>
        <row r="192">
          <cell r="C192">
            <v>858</v>
          </cell>
          <cell r="D192" t="str">
            <v>-  AL. RISER BUSDUCT 3,000 A.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-  AL. RISER BUSDUCT 4,000 A.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860</v>
          </cell>
          <cell r="D194" t="str">
            <v>-  CU. RISER BUSDUCT 800 A.</v>
          </cell>
          <cell r="E194">
            <v>16000</v>
          </cell>
          <cell r="F194">
            <v>500</v>
          </cell>
          <cell r="G194" t="str">
            <v>M.</v>
          </cell>
        </row>
        <row r="195">
          <cell r="C195">
            <v>861</v>
          </cell>
          <cell r="D195" t="str">
            <v>-  CU. RISER BUSDUCT 1,000 A.</v>
          </cell>
          <cell r="E195">
            <v>17300</v>
          </cell>
          <cell r="F195">
            <v>500</v>
          </cell>
          <cell r="G195" t="str">
            <v>M.</v>
          </cell>
        </row>
        <row r="196">
          <cell r="C196">
            <v>862</v>
          </cell>
          <cell r="D196" t="str">
            <v>-  CU. RISER BUSDUCT 1,200 A.</v>
          </cell>
          <cell r="E196">
            <v>19300</v>
          </cell>
          <cell r="F196">
            <v>700</v>
          </cell>
          <cell r="G196" t="str">
            <v>M.</v>
          </cell>
        </row>
        <row r="197">
          <cell r="C197">
            <v>863</v>
          </cell>
          <cell r="D197" t="str">
            <v>-  CU. RISER BUSDUCT 1,350 A.</v>
          </cell>
          <cell r="E197">
            <v>21000</v>
          </cell>
          <cell r="F197">
            <v>700</v>
          </cell>
          <cell r="G197" t="str">
            <v>M.</v>
          </cell>
        </row>
        <row r="198">
          <cell r="C198">
            <v>864</v>
          </cell>
          <cell r="D198" t="str">
            <v>-  CU. RISER BUSDUCT 1,600 A.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-  CU. RISER BUSDUCT 2,000 A.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866</v>
          </cell>
          <cell r="D200" t="str">
            <v>-  CU. RISER BUSDUCT 2,500 A.</v>
          </cell>
          <cell r="E200">
            <v>40000</v>
          </cell>
          <cell r="F200">
            <v>1000</v>
          </cell>
          <cell r="G200" t="str">
            <v>M.</v>
          </cell>
        </row>
        <row r="201">
          <cell r="C201">
            <v>867</v>
          </cell>
          <cell r="D201" t="str">
            <v>-  CU. RISER BUSDUCT 3,000 A.</v>
          </cell>
          <cell r="E201">
            <v>46600</v>
          </cell>
          <cell r="F201">
            <v>1000</v>
          </cell>
          <cell r="G201" t="str">
            <v>M.</v>
          </cell>
        </row>
        <row r="202">
          <cell r="C202">
            <v>868</v>
          </cell>
          <cell r="D202" t="str">
            <v>-  CU. RISER BUSDUCT 4,000 A.</v>
          </cell>
          <cell r="E202">
            <v>60000</v>
          </cell>
          <cell r="F202">
            <v>1000</v>
          </cell>
          <cell r="G202" t="str">
            <v>M.</v>
          </cell>
        </row>
        <row r="203">
          <cell r="C203">
            <v>869</v>
          </cell>
          <cell r="D203" t="str">
            <v>-  CU. RISER BUSDUCT 5,000 A.</v>
          </cell>
          <cell r="E203">
            <v>67000</v>
          </cell>
          <cell r="F203">
            <v>1000</v>
          </cell>
          <cell r="G203" t="str">
            <v>M.</v>
          </cell>
        </row>
        <row r="204">
          <cell r="C204">
            <v>355</v>
          </cell>
          <cell r="D204" t="str">
            <v>SPACE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OUTDOOR BUSDUCT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871</v>
          </cell>
          <cell r="D206" t="str">
            <v>-  AL. BUSDUCT (OUTDOOR) 800 A.</v>
          </cell>
          <cell r="E206">
            <v>18000</v>
          </cell>
          <cell r="F206">
            <v>500</v>
          </cell>
          <cell r="G206" t="str">
            <v>M.</v>
          </cell>
        </row>
        <row r="207">
          <cell r="C207">
            <v>872</v>
          </cell>
          <cell r="D207" t="str">
            <v>-  AL. BUSDUCT (OUTDOOR) 1,000 A.</v>
          </cell>
          <cell r="E207">
            <v>20000</v>
          </cell>
          <cell r="F207">
            <v>500</v>
          </cell>
          <cell r="G207" t="str">
            <v>M.</v>
          </cell>
        </row>
        <row r="208">
          <cell r="C208">
            <v>873</v>
          </cell>
          <cell r="D208" t="str">
            <v>-  AL. BUSDUCT (OUTDOOR) 1,200 A.</v>
          </cell>
          <cell r="E208">
            <v>21000</v>
          </cell>
          <cell r="F208">
            <v>700</v>
          </cell>
          <cell r="G208" t="str">
            <v>M.</v>
          </cell>
        </row>
        <row r="209">
          <cell r="C209">
            <v>874</v>
          </cell>
          <cell r="D209" t="str">
            <v>-  AL. BUSDUCT (OUTDOOR) 1,350 A.</v>
          </cell>
          <cell r="E209">
            <v>22000</v>
          </cell>
          <cell r="F209">
            <v>700</v>
          </cell>
          <cell r="G209" t="str">
            <v>M.</v>
          </cell>
        </row>
        <row r="210">
          <cell r="C210">
            <v>875</v>
          </cell>
          <cell r="D210" t="str">
            <v>-  AL. BUSDUCT (OUTDOOR) 1,600 A.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876</v>
          </cell>
          <cell r="D211" t="str">
            <v>-  AL. BUSDUCT (OUTDOOR) 2,000 A.</v>
          </cell>
          <cell r="E211">
            <v>30000</v>
          </cell>
          <cell r="F211">
            <v>800</v>
          </cell>
          <cell r="G211" t="str">
            <v>M.</v>
          </cell>
        </row>
        <row r="212">
          <cell r="C212">
            <v>877</v>
          </cell>
          <cell r="D212" t="str">
            <v>-  AL. BUSDUCT (OUTDOOR) 2,500 A.</v>
          </cell>
          <cell r="E212">
            <v>33000</v>
          </cell>
          <cell r="F212">
            <v>1000</v>
          </cell>
          <cell r="G212" t="str">
            <v>M.</v>
          </cell>
        </row>
        <row r="213">
          <cell r="C213">
            <v>878</v>
          </cell>
          <cell r="D213" t="str">
            <v>-  AL. BUSDUCT (OUTDOOR) 3,000 A.</v>
          </cell>
          <cell r="E213">
            <v>40000</v>
          </cell>
          <cell r="F213">
            <v>1000</v>
          </cell>
          <cell r="G213" t="str">
            <v>M.</v>
          </cell>
        </row>
        <row r="214">
          <cell r="C214">
            <v>879</v>
          </cell>
          <cell r="D214" t="str">
            <v>-  AL. BUSDUCT (OUTDOOR) 4,000 A.</v>
          </cell>
          <cell r="E214">
            <v>53000</v>
          </cell>
          <cell r="F214">
            <v>1000</v>
          </cell>
          <cell r="G214" t="str">
            <v>M.</v>
          </cell>
        </row>
        <row r="215">
          <cell r="C215">
            <v>880</v>
          </cell>
          <cell r="D215" t="str">
            <v>-  CU BUSDUCT (OUTDOOR) 800 A.</v>
          </cell>
          <cell r="E215">
            <v>22000</v>
          </cell>
          <cell r="F215">
            <v>500</v>
          </cell>
          <cell r="G215" t="str">
            <v>M.</v>
          </cell>
        </row>
        <row r="216">
          <cell r="C216">
            <v>881</v>
          </cell>
          <cell r="D216" t="str">
            <v>-  CU. BUSDUCT (OUTDOOR) 1,000 A.</v>
          </cell>
          <cell r="E216">
            <v>24000</v>
          </cell>
          <cell r="F216">
            <v>500</v>
          </cell>
          <cell r="G216" t="str">
            <v>M.</v>
          </cell>
        </row>
        <row r="217">
          <cell r="C217">
            <v>882</v>
          </cell>
          <cell r="D217" t="str">
            <v>-  CU. BUSDUCT (OUTDOOR) 1,200 A.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-  CU. BUSDUCT (OUTDOOR) 1,350 A.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884</v>
          </cell>
          <cell r="D219" t="str">
            <v>-  CU. BUSDUCT (OUTDOOR) 1,600 A.</v>
          </cell>
          <cell r="E219">
            <v>32000</v>
          </cell>
          <cell r="F219">
            <v>800</v>
          </cell>
          <cell r="G219" t="str">
            <v>M.</v>
          </cell>
        </row>
        <row r="220">
          <cell r="C220">
            <v>885</v>
          </cell>
          <cell r="D220" t="str">
            <v>-  CU. BUSDUCT (OUTDOOR) 2,000 A.</v>
          </cell>
          <cell r="E220">
            <v>33000</v>
          </cell>
          <cell r="F220">
            <v>800</v>
          </cell>
          <cell r="G220" t="str">
            <v>M.</v>
          </cell>
        </row>
        <row r="221">
          <cell r="C221">
            <v>886</v>
          </cell>
          <cell r="D221" t="str">
            <v>-  CU. BUSDUCT (OUTDOOR) 2,500 A.</v>
          </cell>
          <cell r="E221">
            <v>50000</v>
          </cell>
          <cell r="F221">
            <v>1000</v>
          </cell>
          <cell r="G221" t="str">
            <v>M.</v>
          </cell>
        </row>
        <row r="222">
          <cell r="C222">
            <v>887</v>
          </cell>
          <cell r="D222" t="str">
            <v>-  CU. BUSDUCT (OUTDOOR) 3,000 A.</v>
          </cell>
          <cell r="E222">
            <v>58000</v>
          </cell>
          <cell r="F222">
            <v>1000</v>
          </cell>
          <cell r="G222" t="str">
            <v>M.</v>
          </cell>
        </row>
        <row r="223">
          <cell r="C223">
            <v>888</v>
          </cell>
          <cell r="D223" t="str">
            <v>-  CU. BUSDUCT (OUTDOOR) 4,000 A.</v>
          </cell>
          <cell r="E223">
            <v>67000</v>
          </cell>
          <cell r="F223">
            <v>1000</v>
          </cell>
          <cell r="G223" t="str">
            <v>M.</v>
          </cell>
        </row>
        <row r="224">
          <cell r="C224">
            <v>889</v>
          </cell>
          <cell r="D224" t="str">
            <v>-  CU. BUSDUCT (OUTDOOR) 5,000 A.</v>
          </cell>
          <cell r="E224">
            <v>80000</v>
          </cell>
          <cell r="F224">
            <v>1000</v>
          </cell>
          <cell r="G224" t="str">
            <v>M.</v>
          </cell>
        </row>
        <row r="225">
          <cell r="C225">
            <v>376</v>
          </cell>
          <cell r="D225" t="str">
            <v>SPACE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4" refreshError="1"/>
      <sheetData sheetId="5" refreshError="1"/>
      <sheetData sheetId="6" refreshError="1"/>
      <sheetData sheetId="7">
        <row r="3">
          <cell r="C3" t="str">
            <v>N0.</v>
          </cell>
        </row>
      </sheetData>
      <sheetData sheetId="8">
        <row r="3">
          <cell r="C3" t="str">
            <v>N0.</v>
          </cell>
        </row>
      </sheetData>
      <sheetData sheetId="9">
        <row r="3">
          <cell r="C3" t="str">
            <v>N0.</v>
          </cell>
        </row>
      </sheetData>
      <sheetData sheetId="10">
        <row r="3">
          <cell r="C3" t="str">
            <v>N0.</v>
          </cell>
        </row>
      </sheetData>
      <sheetData sheetId="11">
        <row r="3">
          <cell r="C3" t="str">
            <v>N0.</v>
          </cell>
        </row>
      </sheetData>
      <sheetData sheetId="12">
        <row r="3">
          <cell r="C3" t="str">
            <v>N0.</v>
          </cell>
        </row>
      </sheetData>
      <sheetData sheetId="13">
        <row r="3">
          <cell r="C3" t="str">
            <v>N0.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 refreshError="1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실행철강하도"/>
      <sheetName val="Store"/>
      <sheetName val="form"/>
      <sheetName val="e4"/>
      <sheetName val="EST-FOOTING (G)"/>
      <sheetName val="รวมราคาทั้งสิ้น"/>
      <sheetName val="H1.0"/>
      <sheetName val="ประมาณการประตูหน้าต่าง "/>
      <sheetName val="QUANTITY COMPARISON"/>
      <sheetName val="Bill No. 2 - Carpark"/>
      <sheetName val="แบบเดิม"/>
      <sheetName val="หน้า ปมก"/>
      <sheetName val="covere"/>
      <sheetName val="code"/>
      <sheetName val="Document"/>
      <sheetName val="ภูมิทัศน์"/>
      <sheetName val="EST_FOOTING _G_"/>
      <sheetName val="Worksheet"/>
      <sheetName val="boq"/>
      <sheetName val="Struc. "/>
      <sheetName val="I-slab"/>
      <sheetName val="วัดใต้"/>
      <sheetName val="Sheet1"/>
      <sheetName val="EST-FOOTING_(G)"/>
      <sheetName val="H1_0"/>
      <sheetName val="ประมาณการประตูหน้าต่าง_"/>
      <sheetName val="QUANTITY_COMPARISON"/>
      <sheetName val="Bill_No__2_-_Carpark"/>
      <sheetName val="หน้า_ปมก"/>
      <sheetName val="EST_FOOTING__G_"/>
      <sheetName val="Struc__"/>
      <sheetName val="SITE OFFICE"/>
      <sheetName val="EST-FOOTING_(G)1"/>
      <sheetName val="H1_01"/>
      <sheetName val="ประมาณการประตูหน้าต่าง_1"/>
      <sheetName val="QUANTITY_COMPARISON1"/>
      <sheetName val="Bill_No__2_-_Carpark1"/>
      <sheetName val="หน้า_ปมก1"/>
      <sheetName val="EST_FOOTING__G_1"/>
      <sheetName val="Struc__1"/>
      <sheetName val="SITE_OFFICE"/>
      <sheetName val="Wkgs_BS Lead"/>
      <sheetName val="วิเคราะห์ (2)"/>
      <sheetName val="SI-039"/>
      <sheetName val="RW_Option"/>
      <sheetName val="Structural work"/>
      <sheetName val="Electrical Systems"/>
      <sheetName val="Plumbing Systems"/>
      <sheetName val="Air Conditioning"/>
      <sheetName val="External work"/>
      <sheetName val="Present-ex"/>
      <sheetName val="LpC"/>
      <sheetName val="schedule "/>
      <sheetName val="Replacement Cost "/>
      <sheetName val="งานโครงสร้าง "/>
      <sheetName val="LOTUS-EE1"/>
      <sheetName val="EST-FOOTING_(G)2"/>
      <sheetName val="H1_02"/>
      <sheetName val="ประมาณการประตูหน้าต่าง_2"/>
      <sheetName val="QUANTITY_COMPARISON2"/>
      <sheetName val="Bill_No__2_-_Carpark2"/>
      <sheetName val="หน้า_ปมก2"/>
      <sheetName val="EST_FOOTING__G_2"/>
      <sheetName val="Struc__2"/>
      <sheetName val="งานโครงสร้าง"/>
      <sheetName val="SITE_OFFICE1"/>
      <sheetName val="Cover"/>
      <sheetName val="ปร"/>
      <sheetName val="material_cost"/>
      <sheetName val="EE"/>
      <sheetName val="EFR30696"/>
      <sheetName val="GS-Curve S.15 (Meeting)"/>
      <sheetName val="PRICE LIST"/>
      <sheetName val="Book 1 Summary"/>
      <sheetName val="ราคาต่อหน่วย2-9"/>
      <sheetName val="splinkler"/>
      <sheetName val="calc_menu_déroulant"/>
      <sheetName val="E"/>
      <sheetName val="ราคากลาง 2"/>
      <sheetName val="งานซ๋อมพื้นคอนกรีต 1"/>
      <sheetName val="Detail"/>
      <sheetName val="INFO"/>
      <sheetName val="PL"/>
      <sheetName val="STMspry"/>
      <sheetName val="PsychroData"/>
      <sheetName val="LOTS-A&amp;B"/>
      <sheetName val="A"/>
      <sheetName val="G"/>
      <sheetName val="1.R18 BF"/>
      <sheetName val="F-B"/>
      <sheetName val="Exchange Rate"/>
      <sheetName val="schedule_"/>
      <sheetName val="Structural_work"/>
      <sheetName val="Electrical_Systems"/>
      <sheetName val="Plumbing_Systems"/>
      <sheetName val="Air_Conditioning"/>
      <sheetName val="External_work"/>
      <sheetName val="Wkgs_BS_Lead"/>
      <sheetName val="วิเคราะห์_(2)"/>
      <sheetName val="Replacement_Cost_"/>
      <sheetName val="EST-FOOTING_(G)3"/>
      <sheetName val="H1_03"/>
      <sheetName val="ประมาณการประตูหน้าต่าง_3"/>
      <sheetName val="QUANTITY_COMPARISON3"/>
      <sheetName val="Bill_No__2_-_Carpark3"/>
      <sheetName val="หน้า_ปมก3"/>
      <sheetName val="EST_FOOTING__G_3"/>
      <sheetName val="Struc__3"/>
      <sheetName val="SITE_OFFICE2"/>
      <sheetName val="schedule_1"/>
      <sheetName val="Structural_work1"/>
      <sheetName val="Electrical_Systems1"/>
      <sheetName val="Plumbing_Systems1"/>
      <sheetName val="Air_Conditioning1"/>
      <sheetName val="External_work1"/>
      <sheetName val="Wkgs_BS_Lead1"/>
      <sheetName val="วิเคราะห์_(2)1"/>
      <sheetName val="Replacement_Cost_1"/>
      <sheetName val="Insul-Cost Control-REV-00 "/>
      <sheetName val="SAN REDUCED 1"/>
      <sheetName val="ส่วนลดระบบไฟฟ้า"/>
      <sheetName val="SCHEDULE_2"/>
      <sheetName val="SCHEDULE_3"/>
      <sheetName val="detail "/>
      <sheetName val="งานโครงสร้าง_"/>
      <sheetName val="Prod-1"/>
      <sheetName val="DATA"/>
      <sheetName val="List"/>
      <sheetName val="cost_categories"/>
      <sheetName val="EST-FOOTING_(G)4"/>
      <sheetName val="H1_04"/>
      <sheetName val="ประมาณการประตูหน้าต่าง_4"/>
      <sheetName val="QUANTITY_COMPARISON4"/>
      <sheetName val="Bill_No__2_-_Carpark4"/>
      <sheetName val="หน้า_ปมก4"/>
      <sheetName val="EST_FOOTING__G_4"/>
      <sheetName val="Struc__4"/>
      <sheetName val="SITE_OFFICE3"/>
      <sheetName val="Replacement_Cost_2"/>
      <sheetName val="Wkgs_BS_Lead2"/>
      <sheetName val="วิเคราะห์_(2)2"/>
      <sheetName val="Structural_work2"/>
      <sheetName val="Electrical_Systems2"/>
      <sheetName val="Plumbing_Systems2"/>
      <sheetName val="Air_Conditioning2"/>
      <sheetName val="External_work2"/>
      <sheetName val="งานโครงสร้าง_1"/>
      <sheetName val="CSBR"/>
      <sheetName val="GS-Curve_S_15_(Meeting)"/>
      <sheetName val="GS-Curve_S_15_(Meeting)1"/>
      <sheetName val="name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RECY"/>
      <sheetName val="สรุป"/>
      <sheetName val="BOX Cryostat Details"/>
      <sheetName val="Driver Linac Layout"/>
      <sheetName val="Inputs"/>
      <sheetName val="Magnet Details"/>
      <sheetName val="KKC_Brkdwn"/>
      <sheetName val="LEGEND"/>
      <sheetName val="EST-FOOTING_(G)5"/>
      <sheetName val="ประมาณการประตูหน้าต่าง_5"/>
      <sheetName val="H1_05"/>
      <sheetName val="QUANTITY_COMPARISON5"/>
      <sheetName val="Bill_No__2_-_Carpark5"/>
      <sheetName val="หน้า_ปมก5"/>
      <sheetName val="EST_FOOTING__G_5"/>
      <sheetName val="Struc__5"/>
      <sheetName val="SITE_OFFICE4"/>
      <sheetName val="งานโครงสร้าง_2"/>
      <sheetName val="GS-Curve_S_15_(Meeting)2"/>
    </sheetNames>
    <sheetDataSet>
      <sheetData sheetId="0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D5" t="str">
            <v>TRANSFORMER , GENERATOR AND HIGH-VOLTAGE EQUIPMENT</v>
          </cell>
        </row>
        <row r="6">
          <cell r="C6">
            <v>1</v>
          </cell>
          <cell r="D6" t="str">
            <v>OIL IMMERSED TRANSFORMER</v>
          </cell>
        </row>
        <row r="7">
          <cell r="D7" t="str">
            <v>33 KV. OIL IMMERSED TRANS</v>
          </cell>
        </row>
        <row r="8">
          <cell r="C8">
            <v>101</v>
          </cell>
          <cell r="D8" t="str">
            <v>-  OIL IMMERSED TRANS. 100 KVA.</v>
          </cell>
          <cell r="E8">
            <v>137000</v>
          </cell>
          <cell r="F8">
            <v>2500</v>
          </cell>
          <cell r="G8" t="str">
            <v>SET</v>
          </cell>
        </row>
        <row r="9">
          <cell r="C9">
            <v>102</v>
          </cell>
          <cell r="D9" t="str">
            <v>-  OIL IMMERSED TRANS. 160 KVA.</v>
          </cell>
          <cell r="E9">
            <v>148000</v>
          </cell>
          <cell r="F9">
            <v>2500</v>
          </cell>
          <cell r="G9" t="str">
            <v>SET</v>
          </cell>
        </row>
        <row r="10">
          <cell r="C10">
            <v>103</v>
          </cell>
          <cell r="D10" t="str">
            <v>-  OIL IMMERSED TRANS. 250 KVA.</v>
          </cell>
          <cell r="E10">
            <v>193000</v>
          </cell>
          <cell r="F10">
            <v>2500</v>
          </cell>
          <cell r="G10" t="str">
            <v>SET</v>
          </cell>
        </row>
        <row r="11">
          <cell r="C11">
            <v>104</v>
          </cell>
          <cell r="D11" t="str">
            <v>-  OIL IMMERSED TRANS. 315 KVA.</v>
          </cell>
          <cell r="E11">
            <v>262000</v>
          </cell>
          <cell r="F11">
            <v>3000</v>
          </cell>
          <cell r="G11" t="str">
            <v>SET</v>
          </cell>
        </row>
        <row r="12">
          <cell r="C12">
            <v>105</v>
          </cell>
          <cell r="D12" t="str">
            <v>-  OIL IMMERSED TRANS. 400 KVA.</v>
          </cell>
          <cell r="E12">
            <v>297500</v>
          </cell>
          <cell r="F12">
            <v>3000</v>
          </cell>
          <cell r="G12" t="str">
            <v>SET</v>
          </cell>
        </row>
        <row r="13">
          <cell r="C13">
            <v>106</v>
          </cell>
          <cell r="D13" t="str">
            <v>-  OIL IMMERSED TRANS. 500 KVA.</v>
          </cell>
          <cell r="E13">
            <v>323000</v>
          </cell>
          <cell r="F13">
            <v>3000</v>
          </cell>
          <cell r="G13" t="str">
            <v>SET</v>
          </cell>
        </row>
        <row r="14">
          <cell r="C14">
            <v>107</v>
          </cell>
          <cell r="D14" t="str">
            <v>-  OIL IMMERSED TRANS. 630 KVA.</v>
          </cell>
          <cell r="E14">
            <v>359000</v>
          </cell>
          <cell r="F14">
            <v>5000</v>
          </cell>
          <cell r="G14" t="str">
            <v>SET</v>
          </cell>
        </row>
        <row r="15">
          <cell r="C15">
            <v>108</v>
          </cell>
          <cell r="D15" t="str">
            <v>-  OIL IMMERSED TRANS. 800 KVA.</v>
          </cell>
          <cell r="E15">
            <v>446000</v>
          </cell>
          <cell r="F15">
            <v>5000</v>
          </cell>
          <cell r="G15" t="str">
            <v>SET</v>
          </cell>
        </row>
        <row r="16">
          <cell r="C16">
            <v>109</v>
          </cell>
          <cell r="D16" t="str">
            <v>-  OIL IMMERSED TRANS. 1,000 KVA.</v>
          </cell>
          <cell r="E16">
            <v>542000</v>
          </cell>
          <cell r="F16">
            <v>6000</v>
          </cell>
          <cell r="G16" t="str">
            <v>SET</v>
          </cell>
        </row>
        <row r="17">
          <cell r="C17">
            <v>110</v>
          </cell>
          <cell r="D17" t="str">
            <v>-  OIL IMMERSED TRANS. 1,250 KVA.</v>
          </cell>
          <cell r="E17">
            <v>595000</v>
          </cell>
          <cell r="F17">
            <v>6000</v>
          </cell>
          <cell r="G17" t="str">
            <v>SET</v>
          </cell>
        </row>
        <row r="18">
          <cell r="C18">
            <v>111</v>
          </cell>
          <cell r="D18" t="str">
            <v>-  OIL IMMERSED TRANS. 1,500 KVA.</v>
          </cell>
          <cell r="E18">
            <v>680000</v>
          </cell>
          <cell r="F18">
            <v>6500</v>
          </cell>
          <cell r="G18" t="str">
            <v>SET</v>
          </cell>
        </row>
        <row r="19">
          <cell r="C19">
            <v>112</v>
          </cell>
          <cell r="D19" t="str">
            <v>-  OIL IMMERSED TRANS. 2,000 KVA.</v>
          </cell>
          <cell r="E19">
            <v>855000</v>
          </cell>
          <cell r="F19">
            <v>7000</v>
          </cell>
          <cell r="G19" t="str">
            <v>SET</v>
          </cell>
        </row>
        <row r="20">
          <cell r="C20">
            <v>113</v>
          </cell>
          <cell r="D20" t="str">
            <v>-  OIL IMMERSED TRANS. 2,500 KVA.</v>
          </cell>
          <cell r="E20">
            <v>1046000</v>
          </cell>
          <cell r="F20">
            <v>7500</v>
          </cell>
          <cell r="G20" t="str">
            <v>SET</v>
          </cell>
        </row>
        <row r="21">
          <cell r="C21">
            <v>114</v>
          </cell>
          <cell r="D21" t="str">
            <v>-  OIL IMMERSED TRANS. 3,000 KVA.</v>
          </cell>
          <cell r="E21">
            <v>1256000</v>
          </cell>
          <cell r="F21">
            <v>8500</v>
          </cell>
          <cell r="G21" t="str">
            <v>SET</v>
          </cell>
        </row>
        <row r="22">
          <cell r="D22" t="str">
            <v>22 - 24 KV หรือ 11 - 12 KV. OIL IMMERSED TRANS</v>
          </cell>
        </row>
        <row r="23">
          <cell r="C23">
            <v>115</v>
          </cell>
          <cell r="D23" t="str">
            <v>-  OIL IMMERSED TRANS. 100 KVA.</v>
          </cell>
          <cell r="E23">
            <v>104000</v>
          </cell>
          <cell r="F23">
            <v>2500</v>
          </cell>
          <cell r="G23" t="str">
            <v>SET</v>
          </cell>
        </row>
        <row r="24">
          <cell r="C24">
            <v>116</v>
          </cell>
          <cell r="D24" t="str">
            <v>-  OIL IMMERSED TRANS. 160 KVA.</v>
          </cell>
          <cell r="E24">
            <v>131000</v>
          </cell>
          <cell r="F24">
            <v>2500</v>
          </cell>
          <cell r="G24" t="str">
            <v>SET</v>
          </cell>
        </row>
        <row r="25">
          <cell r="C25">
            <v>117</v>
          </cell>
          <cell r="D25" t="str">
            <v>-  OIL IMMERSED TRANS. 200 KVA.</v>
          </cell>
          <cell r="E25">
            <v>154000</v>
          </cell>
          <cell r="F25">
            <v>2500</v>
          </cell>
          <cell r="G25" t="str">
            <v>SET</v>
          </cell>
        </row>
        <row r="26">
          <cell r="C26">
            <v>118</v>
          </cell>
          <cell r="D26" t="str">
            <v>-  OIL IMMERSED TRANS. 250 KVA.</v>
          </cell>
          <cell r="E26">
            <v>171000</v>
          </cell>
          <cell r="F26">
            <v>3000</v>
          </cell>
          <cell r="G26" t="str">
            <v>SET</v>
          </cell>
        </row>
        <row r="27">
          <cell r="C27">
            <v>119</v>
          </cell>
          <cell r="D27" t="str">
            <v>-  OIL IMMERSED TRANS. 315 KVA.</v>
          </cell>
          <cell r="E27">
            <v>227500</v>
          </cell>
          <cell r="F27">
            <v>3000</v>
          </cell>
          <cell r="G27" t="str">
            <v>SET</v>
          </cell>
        </row>
        <row r="28">
          <cell r="C28">
            <v>120</v>
          </cell>
          <cell r="D28" t="str">
            <v>-  OIL IMMERSED TRANS. 400 KVA.</v>
          </cell>
          <cell r="E28">
            <v>262000</v>
          </cell>
          <cell r="F28">
            <v>3000</v>
          </cell>
          <cell r="G28" t="str">
            <v>SET</v>
          </cell>
        </row>
        <row r="29">
          <cell r="C29">
            <v>121</v>
          </cell>
          <cell r="D29" t="str">
            <v>-  OIL IMMERSED TRANS. 500 KVA.</v>
          </cell>
          <cell r="E29">
            <v>289000</v>
          </cell>
          <cell r="F29">
            <v>3000</v>
          </cell>
          <cell r="G29" t="str">
            <v>SET</v>
          </cell>
        </row>
        <row r="30">
          <cell r="C30">
            <v>122</v>
          </cell>
          <cell r="D30" t="str">
            <v>-  OIL IMMERSED TRANS. 630 KVA.</v>
          </cell>
          <cell r="E30">
            <v>323000</v>
          </cell>
          <cell r="F30">
            <v>5000</v>
          </cell>
          <cell r="G30" t="str">
            <v>SET</v>
          </cell>
        </row>
        <row r="31">
          <cell r="C31">
            <v>123</v>
          </cell>
          <cell r="D31" t="str">
            <v>-  OIL IMMERSED TRANS. 800 KVA.</v>
          </cell>
          <cell r="E31">
            <v>402000</v>
          </cell>
          <cell r="F31">
            <v>5000</v>
          </cell>
          <cell r="G31" t="str">
            <v>SET</v>
          </cell>
        </row>
        <row r="32">
          <cell r="C32">
            <v>124</v>
          </cell>
          <cell r="D32" t="str">
            <v>-  OIL IMMERSED TRANS. 1,000 KVA.</v>
          </cell>
          <cell r="E32">
            <v>480000</v>
          </cell>
          <cell r="F32">
            <v>6000</v>
          </cell>
          <cell r="G32" t="str">
            <v>SET</v>
          </cell>
        </row>
        <row r="33">
          <cell r="C33">
            <v>125</v>
          </cell>
          <cell r="D33" t="str">
            <v>-  OIL IMMERSED TRANS. 1,250 KVA.</v>
          </cell>
          <cell r="E33">
            <v>542000</v>
          </cell>
          <cell r="F33">
            <v>6000</v>
          </cell>
          <cell r="G33" t="str">
            <v>SET</v>
          </cell>
        </row>
        <row r="34">
          <cell r="C34">
            <v>126</v>
          </cell>
          <cell r="D34" t="str">
            <v>-  OIL IMMERSED TRANS. 1,600 KVA.</v>
          </cell>
          <cell r="E34">
            <v>629000</v>
          </cell>
          <cell r="F34">
            <v>6000</v>
          </cell>
          <cell r="G34" t="str">
            <v>SET</v>
          </cell>
        </row>
        <row r="35">
          <cell r="C35">
            <v>127</v>
          </cell>
          <cell r="D35" t="str">
            <v>-  OIL IMMERSED TRANS. 2,000 KVA.</v>
          </cell>
          <cell r="E35">
            <v>785000</v>
          </cell>
          <cell r="F35">
            <v>7000</v>
          </cell>
          <cell r="G35" t="str">
            <v>SET</v>
          </cell>
        </row>
        <row r="36">
          <cell r="C36">
            <v>128</v>
          </cell>
          <cell r="D36" t="str">
            <v>-  OIL IMMERSED TRANS. 2,500 KVA.</v>
          </cell>
          <cell r="E36">
            <v>959000</v>
          </cell>
          <cell r="F36">
            <v>7000</v>
          </cell>
          <cell r="G36" t="str">
            <v>SET</v>
          </cell>
        </row>
        <row r="37">
          <cell r="C37">
            <v>129</v>
          </cell>
          <cell r="D37" t="str">
            <v>-  OIL IMMERSED TRANS. 3,150 KVA.</v>
          </cell>
          <cell r="E37">
            <v>1133000</v>
          </cell>
          <cell r="F37">
            <v>8000</v>
          </cell>
          <cell r="G37" t="str">
            <v>SET</v>
          </cell>
        </row>
        <row r="38">
          <cell r="C38">
            <v>2</v>
          </cell>
          <cell r="D38" t="str">
            <v>DRY TYPE CAST RESIN TRANSFORMER</v>
          </cell>
        </row>
        <row r="39">
          <cell r="D39" t="str">
            <v>22 - 24 KV OR 11 - 12 KV.  CAST RESIN TRANS</v>
          </cell>
        </row>
        <row r="40">
          <cell r="C40">
            <v>201</v>
          </cell>
          <cell r="D40" t="str">
            <v>-  CAST RESIN TRANS. 100 KVA.</v>
          </cell>
          <cell r="E40">
            <v>180000</v>
          </cell>
          <cell r="F40">
            <v>7000</v>
          </cell>
          <cell r="G40" t="str">
            <v>SET</v>
          </cell>
        </row>
        <row r="41">
          <cell r="C41">
            <v>202</v>
          </cell>
          <cell r="D41" t="str">
            <v>-  CAST RESIN TRANS. 160 KVA.</v>
          </cell>
          <cell r="E41">
            <v>243000</v>
          </cell>
          <cell r="F41">
            <v>7000</v>
          </cell>
          <cell r="G41" t="str">
            <v>SET</v>
          </cell>
        </row>
        <row r="42">
          <cell r="C42">
            <v>203</v>
          </cell>
          <cell r="D42" t="str">
            <v>-  CAST RESIN TRANS. 250 KVA.</v>
          </cell>
          <cell r="E42">
            <v>304000</v>
          </cell>
          <cell r="F42">
            <v>8000</v>
          </cell>
          <cell r="G42" t="str">
            <v>SET</v>
          </cell>
        </row>
        <row r="43">
          <cell r="C43">
            <v>204</v>
          </cell>
          <cell r="D43" t="str">
            <v>-  CAST RESIN TRANS. 315 KVA.</v>
          </cell>
          <cell r="E43">
            <v>342000</v>
          </cell>
          <cell r="F43">
            <v>8000</v>
          </cell>
          <cell r="G43" t="str">
            <v>SET</v>
          </cell>
        </row>
        <row r="44">
          <cell r="C44">
            <v>205</v>
          </cell>
          <cell r="D44" t="str">
            <v>-  CAST RESIN TRANS. 400 KVA.</v>
          </cell>
          <cell r="E44">
            <v>410000</v>
          </cell>
          <cell r="F44">
            <v>10000</v>
          </cell>
          <cell r="G44" t="str">
            <v>SET</v>
          </cell>
        </row>
        <row r="45">
          <cell r="C45">
            <v>206</v>
          </cell>
          <cell r="D45" t="str">
            <v>-  CAST RESIN TRANS. 500 KVA.</v>
          </cell>
          <cell r="E45">
            <v>486000</v>
          </cell>
          <cell r="F45">
            <v>10000</v>
          </cell>
          <cell r="G45" t="str">
            <v>SET</v>
          </cell>
        </row>
        <row r="46">
          <cell r="C46">
            <v>207</v>
          </cell>
          <cell r="D46" t="str">
            <v>-  CAST RESIN TRANS. 630 KVA.</v>
          </cell>
          <cell r="E46">
            <v>574000</v>
          </cell>
          <cell r="F46">
            <v>12000</v>
          </cell>
          <cell r="G46" t="str">
            <v>SET</v>
          </cell>
        </row>
        <row r="47">
          <cell r="C47">
            <v>208</v>
          </cell>
          <cell r="D47" t="str">
            <v>-  CAST RESIN TRANS. 800 KVA.</v>
          </cell>
          <cell r="E47">
            <v>673000</v>
          </cell>
          <cell r="F47">
            <v>12000</v>
          </cell>
          <cell r="G47" t="str">
            <v>SET</v>
          </cell>
        </row>
        <row r="48">
          <cell r="C48">
            <v>209</v>
          </cell>
          <cell r="D48" t="str">
            <v>-  CAST RESIN TRANS. 1,000 KVA.</v>
          </cell>
          <cell r="E48">
            <v>830000</v>
          </cell>
          <cell r="F48">
            <v>15000</v>
          </cell>
          <cell r="G48" t="str">
            <v>SET</v>
          </cell>
        </row>
        <row r="49">
          <cell r="C49">
            <v>210</v>
          </cell>
          <cell r="D49" t="str">
            <v>-  CAST RESIN TRANS. 1,250 KVA.</v>
          </cell>
          <cell r="E49">
            <v>991000</v>
          </cell>
          <cell r="F49">
            <v>15000</v>
          </cell>
          <cell r="G49" t="str">
            <v>SET</v>
          </cell>
        </row>
        <row r="50">
          <cell r="C50">
            <v>211</v>
          </cell>
          <cell r="D50" t="str">
            <v>-  CAST RESIN TRANS. 1,600 KVA.</v>
          </cell>
          <cell r="E50">
            <v>1137000</v>
          </cell>
          <cell r="F50">
            <v>15000</v>
          </cell>
          <cell r="G50" t="str">
            <v>SET</v>
          </cell>
        </row>
        <row r="51">
          <cell r="C51">
            <v>212</v>
          </cell>
          <cell r="D51" t="str">
            <v>-  CAST RESIN TRANS. 2,000 KVA.</v>
          </cell>
          <cell r="E51">
            <v>1425000</v>
          </cell>
          <cell r="F51">
            <v>18000</v>
          </cell>
          <cell r="G51" t="str">
            <v>SET</v>
          </cell>
        </row>
        <row r="52">
          <cell r="C52">
            <v>213</v>
          </cell>
          <cell r="D52" t="str">
            <v>-  CAST RESIN TRANS. 2,500 KVA.</v>
          </cell>
          <cell r="E52">
            <v>1700000</v>
          </cell>
          <cell r="F52">
            <v>20000</v>
          </cell>
          <cell r="G52" t="str">
            <v>SET</v>
          </cell>
        </row>
        <row r="53">
          <cell r="C53">
            <v>214</v>
          </cell>
          <cell r="D53" t="str">
            <v>-  CAST RESIN TRANS. 3,000 KVA.</v>
          </cell>
          <cell r="E53">
            <v>1902000</v>
          </cell>
          <cell r="F53">
            <v>22000</v>
          </cell>
          <cell r="G53" t="str">
            <v>SET</v>
          </cell>
        </row>
        <row r="54">
          <cell r="D54" t="str">
            <v>SPACE</v>
          </cell>
        </row>
        <row r="55">
          <cell r="C55">
            <v>3</v>
          </cell>
          <cell r="D55" t="str">
            <v>PAD MOUNTED TRANSFORMER</v>
          </cell>
        </row>
        <row r="56">
          <cell r="D56" t="str">
            <v>11 - 12 OR 22 - 24 KA. PAD MOUNTED TRANS</v>
          </cell>
        </row>
        <row r="57">
          <cell r="C57">
            <v>301</v>
          </cell>
          <cell r="D57" t="str">
            <v>-  PAD MOUNTED TRANS. 100 KVA.</v>
          </cell>
          <cell r="E57">
            <v>100000</v>
          </cell>
          <cell r="F57">
            <v>2500</v>
          </cell>
          <cell r="G57" t="str">
            <v>SET</v>
          </cell>
        </row>
        <row r="58">
          <cell r="C58">
            <v>302</v>
          </cell>
          <cell r="D58" t="str">
            <v>-  PAD MOUNTED TRANS. 160 KVA.</v>
          </cell>
          <cell r="E58">
            <v>131000</v>
          </cell>
          <cell r="F58">
            <v>2500</v>
          </cell>
          <cell r="G58" t="str">
            <v>SET</v>
          </cell>
        </row>
        <row r="59">
          <cell r="C59">
            <v>303</v>
          </cell>
          <cell r="D59" t="str">
            <v>-  PAD MOUNTED TRANS. 250 KVA.</v>
          </cell>
          <cell r="E59">
            <v>165000</v>
          </cell>
          <cell r="F59">
            <v>2500</v>
          </cell>
          <cell r="G59" t="str">
            <v>SET</v>
          </cell>
        </row>
        <row r="60">
          <cell r="C60">
            <v>304</v>
          </cell>
          <cell r="D60" t="str">
            <v>-  PAD MOUNTED TRANS. 315 KVA.</v>
          </cell>
          <cell r="E60">
            <v>185000</v>
          </cell>
          <cell r="F60">
            <v>3000</v>
          </cell>
          <cell r="G60" t="str">
            <v>SET</v>
          </cell>
        </row>
        <row r="61">
          <cell r="C61">
            <v>305</v>
          </cell>
          <cell r="D61" t="str">
            <v>-  PAD MOUNTED TRANS. 400 KVA.</v>
          </cell>
          <cell r="E61">
            <v>222000</v>
          </cell>
          <cell r="F61">
            <v>3000</v>
          </cell>
          <cell r="G61" t="str">
            <v>SET</v>
          </cell>
        </row>
        <row r="62">
          <cell r="C62">
            <v>306</v>
          </cell>
          <cell r="D62" t="str">
            <v>-  PAD MOUNTED TRANS. 500 KVA.</v>
          </cell>
          <cell r="E62">
            <v>263000</v>
          </cell>
          <cell r="F62">
            <v>3000</v>
          </cell>
          <cell r="G62" t="str">
            <v>SET</v>
          </cell>
        </row>
        <row r="63">
          <cell r="C63">
            <v>307</v>
          </cell>
          <cell r="D63" t="str">
            <v>-  PAD MOUNTED TRANS. 630 KVA.</v>
          </cell>
          <cell r="E63">
            <v>311000</v>
          </cell>
          <cell r="F63">
            <v>5000</v>
          </cell>
          <cell r="G63" t="str">
            <v>SET</v>
          </cell>
        </row>
        <row r="64">
          <cell r="C64">
            <v>308</v>
          </cell>
          <cell r="D64" t="str">
            <v>-  PAD MOUNTED TRANS. 800 KVA.</v>
          </cell>
          <cell r="E64">
            <v>364000</v>
          </cell>
          <cell r="F64">
            <v>5000</v>
          </cell>
          <cell r="G64" t="str">
            <v>SET</v>
          </cell>
        </row>
        <row r="65">
          <cell r="C65">
            <v>309</v>
          </cell>
          <cell r="D65" t="str">
            <v>-  PAD MOUNTED TRANS. 1,000 KVA.</v>
          </cell>
          <cell r="E65">
            <v>450000</v>
          </cell>
          <cell r="F65">
            <v>6000</v>
          </cell>
          <cell r="G65" t="str">
            <v>SET</v>
          </cell>
        </row>
        <row r="66">
          <cell r="C66">
            <v>310</v>
          </cell>
          <cell r="D66" t="str">
            <v>-  PAD MOUNTED TRANS. 1,250 KVA.</v>
          </cell>
          <cell r="E66">
            <v>537000</v>
          </cell>
          <cell r="F66">
            <v>6000</v>
          </cell>
          <cell r="G66" t="str">
            <v>SET</v>
          </cell>
        </row>
        <row r="67">
          <cell r="C67">
            <v>311</v>
          </cell>
          <cell r="D67" t="str">
            <v>-  PAD MOUNTED TRANS. 1,500 KVA.</v>
          </cell>
          <cell r="E67">
            <v>616000</v>
          </cell>
          <cell r="F67">
            <v>6000</v>
          </cell>
          <cell r="G67" t="str">
            <v>SET</v>
          </cell>
        </row>
        <row r="68">
          <cell r="C68">
            <v>312</v>
          </cell>
          <cell r="D68" t="str">
            <v>-  PAD MOUNTED TRANS. 2,000 KVA.</v>
          </cell>
          <cell r="E68">
            <v>772000</v>
          </cell>
          <cell r="F68">
            <v>7000</v>
          </cell>
          <cell r="G68" t="str">
            <v>SET</v>
          </cell>
        </row>
        <row r="69">
          <cell r="C69">
            <v>313</v>
          </cell>
          <cell r="D69" t="str">
            <v>-  PAD MOUNTED TRANS. 2,500 KVA.</v>
          </cell>
          <cell r="E69">
            <v>921000</v>
          </cell>
          <cell r="F69">
            <v>7000</v>
          </cell>
          <cell r="G69" t="str">
            <v>SET</v>
          </cell>
        </row>
        <row r="70">
          <cell r="C70">
            <v>314</v>
          </cell>
          <cell r="D70" t="str">
            <v>-  PAD MOUNTED TRANS. 3,000 KVA.</v>
          </cell>
          <cell r="E70">
            <v>1030000</v>
          </cell>
          <cell r="F70">
            <v>8000</v>
          </cell>
          <cell r="G70" t="str">
            <v>SET</v>
          </cell>
        </row>
        <row r="71">
          <cell r="D71" t="str">
            <v>OIL IMMERSED TRANSFORMER</v>
          </cell>
        </row>
        <row r="72">
          <cell r="D72" t="str">
            <v>33 KA. PAD MOUNTED TRANS</v>
          </cell>
        </row>
        <row r="73">
          <cell r="C73">
            <v>315</v>
          </cell>
          <cell r="D73" t="str">
            <v>-  PAD MOUNTED TRANS. 100 KVA.</v>
          </cell>
          <cell r="E73">
            <v>106000</v>
          </cell>
          <cell r="F73">
            <v>2500</v>
          </cell>
          <cell r="G73" t="str">
            <v>SET</v>
          </cell>
        </row>
        <row r="74">
          <cell r="C74">
            <v>316</v>
          </cell>
          <cell r="D74" t="str">
            <v>-  PAD MOUNTED TRANS. 160 KVA.</v>
          </cell>
          <cell r="E74">
            <v>139000</v>
          </cell>
          <cell r="F74">
            <v>2500</v>
          </cell>
          <cell r="G74" t="str">
            <v>SET</v>
          </cell>
        </row>
        <row r="75">
          <cell r="C75">
            <v>317</v>
          </cell>
          <cell r="D75" t="str">
            <v>-  PAD MOUNTED TRANS. 250 KVA.</v>
          </cell>
          <cell r="E75">
            <v>176000</v>
          </cell>
          <cell r="F75">
            <v>2500</v>
          </cell>
          <cell r="G75" t="str">
            <v>SET</v>
          </cell>
        </row>
        <row r="76">
          <cell r="C76">
            <v>318</v>
          </cell>
          <cell r="D76" t="str">
            <v>-  PAD MOUNTED TRANS. 315 KVA.</v>
          </cell>
          <cell r="E76">
            <v>197000</v>
          </cell>
          <cell r="F76">
            <v>3000</v>
          </cell>
          <cell r="G76" t="str">
            <v>SET</v>
          </cell>
        </row>
        <row r="77">
          <cell r="C77">
            <v>319</v>
          </cell>
          <cell r="D77" t="str">
            <v>-  PAD MOUNTED TRANS. 400 KVA.</v>
          </cell>
          <cell r="E77">
            <v>237000</v>
          </cell>
          <cell r="F77">
            <v>3000</v>
          </cell>
          <cell r="G77" t="str">
            <v>SET</v>
          </cell>
        </row>
        <row r="78">
          <cell r="C78">
            <v>320</v>
          </cell>
          <cell r="D78" t="str">
            <v>-  PAD MOUNTED TRANS. 500 KVA.</v>
          </cell>
          <cell r="E78">
            <v>280000</v>
          </cell>
          <cell r="F78">
            <v>3000</v>
          </cell>
          <cell r="G78" t="str">
            <v>SET</v>
          </cell>
        </row>
        <row r="79">
          <cell r="C79">
            <v>321</v>
          </cell>
          <cell r="D79" t="str">
            <v>-  PAD MOUNTED TRANS. 630 KVA.</v>
          </cell>
          <cell r="E79">
            <v>331000</v>
          </cell>
          <cell r="F79">
            <v>5000</v>
          </cell>
          <cell r="G79" t="str">
            <v>SET</v>
          </cell>
        </row>
        <row r="80">
          <cell r="C80">
            <v>322</v>
          </cell>
          <cell r="D80" t="str">
            <v>-  PAD MOUNTED TRANS. 800 KVA.</v>
          </cell>
          <cell r="E80">
            <v>388000</v>
          </cell>
          <cell r="F80">
            <v>5000</v>
          </cell>
          <cell r="G80" t="str">
            <v>SET</v>
          </cell>
        </row>
        <row r="81">
          <cell r="C81">
            <v>323</v>
          </cell>
          <cell r="D81" t="str">
            <v>-  PAD MOUNTED TRANS. 1,000 KVA.</v>
          </cell>
          <cell r="E81">
            <v>480000</v>
          </cell>
          <cell r="F81">
            <v>6000</v>
          </cell>
          <cell r="G81" t="str">
            <v>SET</v>
          </cell>
        </row>
        <row r="82">
          <cell r="C82">
            <v>324</v>
          </cell>
          <cell r="D82" t="str">
            <v>-  PAD MOUNTED TRANS. 1,250 KVA.</v>
          </cell>
          <cell r="E82">
            <v>572000</v>
          </cell>
          <cell r="F82">
            <v>6000</v>
          </cell>
          <cell r="G82" t="str">
            <v>SET</v>
          </cell>
        </row>
        <row r="83">
          <cell r="C83">
            <v>325</v>
          </cell>
          <cell r="D83" t="str">
            <v>-  PAD MOUNTED TRANS. 1,500 KVA.</v>
          </cell>
          <cell r="E83">
            <v>657000</v>
          </cell>
          <cell r="F83">
            <v>6500</v>
          </cell>
          <cell r="G83" t="str">
            <v>SET</v>
          </cell>
        </row>
        <row r="84">
          <cell r="C84">
            <v>326</v>
          </cell>
          <cell r="D84" t="str">
            <v>-  PAD MOUNTED TRANS. 2,000 KVA.</v>
          </cell>
          <cell r="E84">
            <v>823000</v>
          </cell>
          <cell r="F84">
            <v>7000</v>
          </cell>
          <cell r="G84" t="str">
            <v>SET</v>
          </cell>
        </row>
        <row r="85">
          <cell r="C85">
            <v>327</v>
          </cell>
          <cell r="D85" t="str">
            <v>-  PAD MOUNTED TRANS. 2,500 KVA.</v>
          </cell>
          <cell r="E85">
            <v>982000</v>
          </cell>
          <cell r="F85">
            <v>7500</v>
          </cell>
          <cell r="G85" t="str">
            <v>SET</v>
          </cell>
        </row>
        <row r="86">
          <cell r="C86">
            <v>328</v>
          </cell>
          <cell r="D86" t="str">
            <v>-  PAD MOUNTED TRANS. 3,000 KVA.</v>
          </cell>
          <cell r="E86">
            <v>1110000</v>
          </cell>
          <cell r="F86">
            <v>8500</v>
          </cell>
          <cell r="G86" t="str">
            <v>SET</v>
          </cell>
        </row>
        <row r="87">
          <cell r="C87">
            <v>4</v>
          </cell>
          <cell r="D87" t="str">
            <v>GENERATOR SET</v>
          </cell>
        </row>
        <row r="88">
          <cell r="C88">
            <v>401</v>
          </cell>
          <cell r="D88" t="str">
            <v>-  GEN. SET 35 KVA. (PRIME)</v>
          </cell>
          <cell r="E88">
            <v>456000</v>
          </cell>
          <cell r="F88">
            <v>8000</v>
          </cell>
          <cell r="G88" t="str">
            <v>SET</v>
          </cell>
        </row>
        <row r="89">
          <cell r="C89">
            <v>402</v>
          </cell>
          <cell r="D89" t="str">
            <v>-  GEN. SET 50 KVA. (PRIME)</v>
          </cell>
          <cell r="E89">
            <v>546000</v>
          </cell>
          <cell r="F89">
            <v>8000</v>
          </cell>
          <cell r="G89" t="str">
            <v>SET</v>
          </cell>
        </row>
        <row r="90">
          <cell r="C90">
            <v>403</v>
          </cell>
          <cell r="D90" t="str">
            <v>-  GEN. SET 60 KVA. (PRIME)</v>
          </cell>
          <cell r="E90">
            <v>592000</v>
          </cell>
          <cell r="F90">
            <v>1000</v>
          </cell>
          <cell r="G90" t="str">
            <v>SET</v>
          </cell>
        </row>
        <row r="91">
          <cell r="C91">
            <v>404</v>
          </cell>
          <cell r="D91" t="str">
            <v>-  GEN. SET 80 KVA. (PRIME)</v>
          </cell>
          <cell r="E91">
            <v>600000</v>
          </cell>
          <cell r="F91">
            <v>1000</v>
          </cell>
          <cell r="G91" t="str">
            <v>SET</v>
          </cell>
        </row>
        <row r="92">
          <cell r="C92">
            <v>405</v>
          </cell>
          <cell r="D92" t="str">
            <v>-  GEN. SET 100 KVA. (PRIME)</v>
          </cell>
          <cell r="E92">
            <v>683000</v>
          </cell>
          <cell r="F92">
            <v>15000</v>
          </cell>
          <cell r="G92" t="str">
            <v>SET</v>
          </cell>
        </row>
        <row r="93">
          <cell r="C93">
            <v>406</v>
          </cell>
          <cell r="D93" t="str">
            <v>-  GEN. SET 130 KVA. (PRIME)</v>
          </cell>
          <cell r="E93">
            <v>900000</v>
          </cell>
          <cell r="F93">
            <v>15000</v>
          </cell>
          <cell r="G93" t="str">
            <v>SET</v>
          </cell>
        </row>
        <row r="94">
          <cell r="C94">
            <v>407</v>
          </cell>
          <cell r="D94" t="str">
            <v>-  GEN. SET 170 KVA. (PRIME)</v>
          </cell>
          <cell r="E94">
            <v>1100000</v>
          </cell>
          <cell r="F94">
            <v>20000</v>
          </cell>
          <cell r="G94" t="str">
            <v>SET</v>
          </cell>
        </row>
        <row r="95">
          <cell r="C95">
            <v>408</v>
          </cell>
          <cell r="D95" t="str">
            <v>-  GEN. SET 200 KVA. (PRIME)</v>
          </cell>
          <cell r="E95">
            <v>1200000</v>
          </cell>
          <cell r="F95">
            <v>20000</v>
          </cell>
          <cell r="G95" t="str">
            <v>SET</v>
          </cell>
        </row>
        <row r="96">
          <cell r="C96">
            <v>409</v>
          </cell>
          <cell r="D96" t="str">
            <v>-  GEN. SET 230 KVA. (PRIME)</v>
          </cell>
          <cell r="E96">
            <v>1350000</v>
          </cell>
          <cell r="F96">
            <v>20000</v>
          </cell>
          <cell r="G96" t="str">
            <v>SET</v>
          </cell>
        </row>
        <row r="97">
          <cell r="C97">
            <v>410</v>
          </cell>
          <cell r="D97" t="str">
            <v>-  GEN. SET 250 KVA. (PRIME)</v>
          </cell>
          <cell r="E97">
            <v>1350000</v>
          </cell>
          <cell r="F97">
            <v>25000</v>
          </cell>
          <cell r="G97" t="str">
            <v>SET</v>
          </cell>
        </row>
        <row r="98">
          <cell r="C98">
            <v>411</v>
          </cell>
          <cell r="D98" t="str">
            <v>-  GEN. SET 300 KVA. (PRIME)</v>
          </cell>
          <cell r="E98">
            <v>1514000</v>
          </cell>
          <cell r="F98">
            <v>25000</v>
          </cell>
          <cell r="G98" t="str">
            <v>SET</v>
          </cell>
        </row>
        <row r="99">
          <cell r="C99">
            <v>412</v>
          </cell>
          <cell r="D99" t="str">
            <v>-  GEN. SET 320 KVA. (PRIME)</v>
          </cell>
          <cell r="E99">
            <v>1600000</v>
          </cell>
          <cell r="F99">
            <v>25000</v>
          </cell>
          <cell r="G99" t="str">
            <v>SET</v>
          </cell>
        </row>
        <row r="100">
          <cell r="C100">
            <v>413</v>
          </cell>
          <cell r="D100" t="str">
            <v>-  GEN. SET 360 KVA. (PRIME)</v>
          </cell>
          <cell r="E100">
            <v>1884000</v>
          </cell>
          <cell r="F100">
            <v>25000</v>
          </cell>
          <cell r="G100" t="str">
            <v>SET</v>
          </cell>
        </row>
        <row r="101">
          <cell r="C101">
            <v>414</v>
          </cell>
          <cell r="D101" t="str">
            <v>-  GEN. SET 380 KVA. (PRIME)</v>
          </cell>
          <cell r="E101">
            <v>1950000</v>
          </cell>
          <cell r="F101">
            <v>25000</v>
          </cell>
          <cell r="G101" t="str">
            <v>SET</v>
          </cell>
        </row>
        <row r="102">
          <cell r="C102">
            <v>415</v>
          </cell>
          <cell r="D102" t="str">
            <v>-  GEN. SET 450 KVA. (PRIME)</v>
          </cell>
          <cell r="E102">
            <v>2000000</v>
          </cell>
          <cell r="F102">
            <v>30000</v>
          </cell>
          <cell r="G102" t="str">
            <v>SET</v>
          </cell>
        </row>
        <row r="103">
          <cell r="C103">
            <v>416</v>
          </cell>
          <cell r="D103" t="str">
            <v>-  GEN. SET 500 KVA. (PRIME)</v>
          </cell>
          <cell r="E103">
            <v>2190000</v>
          </cell>
          <cell r="F103">
            <v>30000</v>
          </cell>
          <cell r="G103" t="str">
            <v>SET</v>
          </cell>
        </row>
        <row r="104">
          <cell r="C104">
            <v>417</v>
          </cell>
          <cell r="D104" t="str">
            <v>-  GEN. SET 650 KVA. (PRIME)</v>
          </cell>
          <cell r="E104">
            <v>2897000</v>
          </cell>
          <cell r="F104">
            <v>30000</v>
          </cell>
          <cell r="G104" t="str">
            <v>SET</v>
          </cell>
        </row>
        <row r="105">
          <cell r="C105">
            <v>418</v>
          </cell>
          <cell r="D105" t="str">
            <v>-  GEN. SET 720 KVA. (PRIME)</v>
          </cell>
          <cell r="E105">
            <v>3200000</v>
          </cell>
          <cell r="F105">
            <v>35000</v>
          </cell>
          <cell r="G105" t="str">
            <v>SET</v>
          </cell>
        </row>
        <row r="106">
          <cell r="C106">
            <v>419</v>
          </cell>
          <cell r="D106" t="str">
            <v>-  GEN. SET 760 KVA. (PRIME)</v>
          </cell>
          <cell r="E106">
            <v>3700000</v>
          </cell>
          <cell r="F106">
            <v>35000</v>
          </cell>
          <cell r="G106" t="str">
            <v>SET</v>
          </cell>
        </row>
        <row r="107">
          <cell r="C107">
            <v>420</v>
          </cell>
          <cell r="D107" t="str">
            <v>-  GEN. SET 720 KVA. (PRIME)</v>
          </cell>
          <cell r="E107">
            <v>3963000</v>
          </cell>
          <cell r="F107">
            <v>40000</v>
          </cell>
          <cell r="G107" t="str">
            <v>SET</v>
          </cell>
        </row>
        <row r="108">
          <cell r="C108">
            <v>421</v>
          </cell>
          <cell r="D108" t="str">
            <v>-  GEN. SET 1,000 KVA. (PRIME)</v>
          </cell>
          <cell r="E108">
            <v>4683000</v>
          </cell>
          <cell r="F108">
            <v>45000</v>
          </cell>
          <cell r="G108" t="str">
            <v>SET</v>
          </cell>
        </row>
        <row r="109">
          <cell r="C109">
            <v>422</v>
          </cell>
          <cell r="D109" t="str">
            <v>-  GEN. SET 1,250 KVA. (PRIME)</v>
          </cell>
          <cell r="E109">
            <v>5400000</v>
          </cell>
          <cell r="F109">
            <v>50000</v>
          </cell>
          <cell r="G109" t="str">
            <v>SET</v>
          </cell>
        </row>
        <row r="110">
          <cell r="C110">
            <v>423</v>
          </cell>
          <cell r="D110" t="str">
            <v>-  GEN. SET 1,375 KVA. (PRIME)</v>
          </cell>
          <cell r="E110">
            <v>6330000</v>
          </cell>
          <cell r="F110">
            <v>50000</v>
          </cell>
          <cell r="G110" t="str">
            <v>SET</v>
          </cell>
        </row>
        <row r="111">
          <cell r="D111" t="str">
            <v>SPACE</v>
          </cell>
        </row>
        <row r="112">
          <cell r="C112">
            <v>431</v>
          </cell>
          <cell r="D112" t="str">
            <v>-  GEN. SET 30 KVA. (STAND-BY)</v>
          </cell>
          <cell r="E112">
            <v>411000</v>
          </cell>
          <cell r="F112">
            <v>6000</v>
          </cell>
          <cell r="G112" t="str">
            <v>SET</v>
          </cell>
        </row>
        <row r="113">
          <cell r="C113">
            <v>432</v>
          </cell>
          <cell r="D113" t="str">
            <v>-  GEN. SET 45 KVA. (STAND-BY)</v>
          </cell>
          <cell r="E113">
            <v>456000</v>
          </cell>
          <cell r="F113">
            <v>6000</v>
          </cell>
          <cell r="G113" t="str">
            <v>SET</v>
          </cell>
        </row>
        <row r="114">
          <cell r="C114">
            <v>433</v>
          </cell>
          <cell r="D114" t="str">
            <v>-  GEN. SET 50 KVA. (STAND-BY)</v>
          </cell>
          <cell r="E114">
            <v>546000</v>
          </cell>
          <cell r="F114">
            <v>8000</v>
          </cell>
          <cell r="G114" t="str">
            <v>SET</v>
          </cell>
        </row>
        <row r="115">
          <cell r="C115">
            <v>434</v>
          </cell>
          <cell r="D115" t="str">
            <v>-  GEN. SET 70 KVA. (STAND-BY)</v>
          </cell>
          <cell r="E115">
            <v>570000</v>
          </cell>
          <cell r="F115">
            <v>8000</v>
          </cell>
          <cell r="G115" t="str">
            <v>SET</v>
          </cell>
        </row>
        <row r="116">
          <cell r="C116">
            <v>435</v>
          </cell>
          <cell r="D116" t="str">
            <v>-  GEN. SET 90 KVA. (STAND-BY)</v>
          </cell>
          <cell r="E116">
            <v>590000</v>
          </cell>
          <cell r="F116">
            <v>10000</v>
          </cell>
          <cell r="G116" t="str">
            <v>SET</v>
          </cell>
        </row>
        <row r="117">
          <cell r="C117">
            <v>436</v>
          </cell>
          <cell r="D117" t="str">
            <v>-  GEN. SET 110 KVA. (STAND-BY)</v>
          </cell>
          <cell r="E117">
            <v>670000</v>
          </cell>
          <cell r="F117">
            <v>10000</v>
          </cell>
          <cell r="G117" t="str">
            <v>SET</v>
          </cell>
        </row>
        <row r="118">
          <cell r="C118">
            <v>437</v>
          </cell>
          <cell r="D118" t="str">
            <v>-  GEN. SET 150 KVA. (STAND-BY)</v>
          </cell>
          <cell r="E118">
            <v>900000</v>
          </cell>
          <cell r="F118">
            <v>15000</v>
          </cell>
          <cell r="G118" t="str">
            <v>SET</v>
          </cell>
        </row>
        <row r="119">
          <cell r="C119">
            <v>438</v>
          </cell>
          <cell r="D119" t="str">
            <v>-  GEN. SET 190 KVA. (STAND-BY)</v>
          </cell>
          <cell r="E119">
            <v>920000</v>
          </cell>
          <cell r="F119">
            <v>15000</v>
          </cell>
          <cell r="G119" t="str">
            <v>SET</v>
          </cell>
        </row>
        <row r="120">
          <cell r="C120">
            <v>439</v>
          </cell>
          <cell r="D120" t="str">
            <v>-  GEN. SET 210 KVA. (STAND-BY)</v>
          </cell>
          <cell r="E120">
            <v>1100000</v>
          </cell>
          <cell r="F120">
            <v>20000</v>
          </cell>
          <cell r="G120" t="str">
            <v>SET</v>
          </cell>
        </row>
        <row r="121">
          <cell r="C121">
            <v>440</v>
          </cell>
          <cell r="D121" t="str">
            <v>-  GEN. SET 250 KVA. (STAND-BY)</v>
          </cell>
          <cell r="E121">
            <v>1214000</v>
          </cell>
          <cell r="F121">
            <v>20000</v>
          </cell>
          <cell r="G121" t="str">
            <v>SET</v>
          </cell>
        </row>
        <row r="122">
          <cell r="C122">
            <v>441</v>
          </cell>
          <cell r="D122" t="str">
            <v>-  GEN. SET 280 KVA. (STAND-BY)</v>
          </cell>
          <cell r="E122">
            <v>1350000</v>
          </cell>
          <cell r="F122">
            <v>20000</v>
          </cell>
          <cell r="G122" t="str">
            <v>SET</v>
          </cell>
        </row>
        <row r="123">
          <cell r="C123">
            <v>442</v>
          </cell>
          <cell r="D123" t="str">
            <v>-  GEN. SET 310 KVA. (STAND-BY)</v>
          </cell>
          <cell r="E123">
            <v>1510000</v>
          </cell>
          <cell r="F123">
            <v>25000</v>
          </cell>
          <cell r="G123" t="str">
            <v>SET</v>
          </cell>
        </row>
        <row r="124">
          <cell r="C124">
            <v>443</v>
          </cell>
          <cell r="D124" t="str">
            <v>-  GEN. SET 330 KVA. (STAND-BY)</v>
          </cell>
          <cell r="E124">
            <v>1550000</v>
          </cell>
          <cell r="F124">
            <v>25000</v>
          </cell>
          <cell r="G124" t="str">
            <v>SET</v>
          </cell>
        </row>
        <row r="125">
          <cell r="C125">
            <v>444</v>
          </cell>
          <cell r="D125" t="str">
            <v>-  GEN. SET 345 KVA. (STAND-BY)</v>
          </cell>
          <cell r="E125">
            <v>1600000</v>
          </cell>
          <cell r="F125">
            <v>25000</v>
          </cell>
          <cell r="G125" t="str">
            <v>SET</v>
          </cell>
        </row>
        <row r="126">
          <cell r="C126">
            <v>445</v>
          </cell>
          <cell r="D126" t="str">
            <v>-  GEN. SET 390 KVA. (STAND-BY)</v>
          </cell>
          <cell r="E126">
            <v>1884000</v>
          </cell>
          <cell r="F126">
            <v>25000</v>
          </cell>
          <cell r="G126" t="str">
            <v>SET</v>
          </cell>
        </row>
        <row r="127">
          <cell r="C127">
            <v>446</v>
          </cell>
          <cell r="D127" t="str">
            <v>-  GEN. SET 415 KVA. (STAND-BY)</v>
          </cell>
          <cell r="E127">
            <v>1900000</v>
          </cell>
          <cell r="F127">
            <v>25000</v>
          </cell>
          <cell r="G127" t="str">
            <v>SET</v>
          </cell>
        </row>
        <row r="128">
          <cell r="C128">
            <v>447</v>
          </cell>
          <cell r="D128" t="str">
            <v>-  GEN. SET 500 KVA. (STAND-BY)</v>
          </cell>
          <cell r="E128">
            <v>2063000</v>
          </cell>
          <cell r="F128">
            <v>25000</v>
          </cell>
          <cell r="G128" t="str">
            <v>SET</v>
          </cell>
        </row>
        <row r="129">
          <cell r="C129">
            <v>448</v>
          </cell>
          <cell r="D129" t="str">
            <v>-  GEN. SET 560 KVA. (STAND-BY)</v>
          </cell>
          <cell r="E129">
            <v>2195000</v>
          </cell>
          <cell r="F129">
            <v>30000</v>
          </cell>
          <cell r="G129" t="str">
            <v>SET</v>
          </cell>
        </row>
        <row r="130">
          <cell r="C130">
            <v>449</v>
          </cell>
          <cell r="D130" t="str">
            <v>-  GEN. SET 700 KVA. (STAND-BY)</v>
          </cell>
          <cell r="E130">
            <v>2897000</v>
          </cell>
          <cell r="F130">
            <v>30000</v>
          </cell>
          <cell r="G130" t="str">
            <v>SET</v>
          </cell>
        </row>
        <row r="131">
          <cell r="C131">
            <v>450</v>
          </cell>
          <cell r="D131" t="str">
            <v>-  GEN. SET 800 KVA. (STAND-BY)</v>
          </cell>
          <cell r="E131">
            <v>3664000</v>
          </cell>
          <cell r="F131">
            <v>30000</v>
          </cell>
          <cell r="G131" t="str">
            <v>SET</v>
          </cell>
        </row>
        <row r="132">
          <cell r="C132">
            <v>451</v>
          </cell>
          <cell r="D132" t="str">
            <v>-  GEN. SET 830 KVA. (STAND-BY)</v>
          </cell>
          <cell r="E132">
            <v>3826000</v>
          </cell>
          <cell r="F132">
            <v>35000</v>
          </cell>
          <cell r="G132" t="str">
            <v>SET</v>
          </cell>
        </row>
        <row r="133">
          <cell r="C133">
            <v>452</v>
          </cell>
          <cell r="D133" t="str">
            <v>-  GEN. SET 1,000 KVA. (STAND-BY)</v>
          </cell>
          <cell r="E133">
            <v>3963000</v>
          </cell>
          <cell r="F133">
            <v>35000</v>
          </cell>
          <cell r="G133" t="str">
            <v>SET</v>
          </cell>
        </row>
        <row r="134">
          <cell r="C134">
            <v>453</v>
          </cell>
          <cell r="D134" t="str">
            <v>-  GEN. SET 1,125 KVA. (STAND-BY)</v>
          </cell>
          <cell r="E134">
            <v>4683000</v>
          </cell>
          <cell r="F134">
            <v>40000</v>
          </cell>
          <cell r="G134" t="str">
            <v>SET</v>
          </cell>
        </row>
        <row r="135">
          <cell r="C135">
            <v>454</v>
          </cell>
          <cell r="D135" t="str">
            <v>-  GEN. SET 1,400 KVA. (STAND-BY)</v>
          </cell>
          <cell r="E135">
            <v>5400000</v>
          </cell>
          <cell r="F135">
            <v>45000</v>
          </cell>
          <cell r="G135" t="str">
            <v>SET</v>
          </cell>
        </row>
        <row r="136">
          <cell r="C136">
            <v>455</v>
          </cell>
          <cell r="D136" t="str">
            <v>-  GEN. SET 1,550 KVA. (STAND-BY)</v>
          </cell>
          <cell r="E136">
            <v>6330000</v>
          </cell>
          <cell r="F136">
            <v>50000</v>
          </cell>
          <cell r="G136" t="str">
            <v>SET</v>
          </cell>
        </row>
        <row r="137">
          <cell r="C137">
            <v>456</v>
          </cell>
          <cell r="D137" t="str">
            <v>-  GEN. SET 1,600 KVA. (STAND-BY)</v>
          </cell>
          <cell r="E137">
            <v>7000000</v>
          </cell>
          <cell r="F137">
            <v>50000</v>
          </cell>
          <cell r="G137" t="str">
            <v>SET</v>
          </cell>
        </row>
        <row r="138">
          <cell r="D138" t="str">
            <v>SPACE</v>
          </cell>
        </row>
        <row r="139">
          <cell r="C139">
            <v>5</v>
          </cell>
          <cell r="D139" t="str">
            <v>HIGH-VOLTAGE EQUIPMENT</v>
          </cell>
        </row>
        <row r="140">
          <cell r="C140">
            <v>501</v>
          </cell>
          <cell r="D140" t="str">
            <v>-  LIGHTNING ARRESTER 21 KV. 5 KA.</v>
          </cell>
          <cell r="E140">
            <v>3000</v>
          </cell>
          <cell r="F140">
            <v>200</v>
          </cell>
          <cell r="G140" t="str">
            <v>EA.</v>
          </cell>
        </row>
        <row r="141">
          <cell r="C141">
            <v>502</v>
          </cell>
          <cell r="D141" t="str">
            <v>-  LIGHTNING ARRESTER 24 KV. 5 KA.</v>
          </cell>
          <cell r="E141">
            <v>3000</v>
          </cell>
          <cell r="F141">
            <v>200</v>
          </cell>
          <cell r="G141" t="str">
            <v>EA.</v>
          </cell>
        </row>
        <row r="142">
          <cell r="C142">
            <v>503</v>
          </cell>
          <cell r="D142" t="str">
            <v>-  LIGHTNING ARRESTER 30 KV. 5 KA.</v>
          </cell>
          <cell r="E142">
            <v>5800</v>
          </cell>
          <cell r="F142">
            <v>200</v>
          </cell>
          <cell r="G142" t="str">
            <v>EA.</v>
          </cell>
        </row>
        <row r="143">
          <cell r="C143">
            <v>504</v>
          </cell>
          <cell r="D143" t="str">
            <v>-  LIGHTNING ARRESTER 20 KV. 10 KA.</v>
          </cell>
          <cell r="E143">
            <v>6000</v>
          </cell>
          <cell r="F143">
            <v>200</v>
          </cell>
          <cell r="G143" t="str">
            <v>EA.</v>
          </cell>
        </row>
        <row r="144">
          <cell r="C144">
            <v>505</v>
          </cell>
          <cell r="D144" t="str">
            <v>-  LIGHTNING ARRESTER 24 KV. 10 KA.</v>
          </cell>
          <cell r="E144">
            <v>6000</v>
          </cell>
          <cell r="F144">
            <v>200</v>
          </cell>
          <cell r="G144" t="str">
            <v>EA.</v>
          </cell>
        </row>
        <row r="145">
          <cell r="C145">
            <v>506</v>
          </cell>
          <cell r="D145" t="str">
            <v>-  LIGHTNING ARRESTER 30 KV. 10 KA.</v>
          </cell>
          <cell r="E145">
            <v>7500</v>
          </cell>
          <cell r="F145">
            <v>200</v>
          </cell>
          <cell r="G145" t="str">
            <v>EA.</v>
          </cell>
        </row>
        <row r="146">
          <cell r="C146">
            <v>507</v>
          </cell>
          <cell r="D146" t="str">
            <v>-  CURRENT TRANSFORMER 24 KV.</v>
          </cell>
          <cell r="E146">
            <v>22000</v>
          </cell>
          <cell r="F146">
            <v>0</v>
          </cell>
          <cell r="G146" t="str">
            <v>EA.</v>
          </cell>
        </row>
        <row r="147">
          <cell r="C147">
            <v>508</v>
          </cell>
          <cell r="D147" t="str">
            <v>-  CURRENT TRANSFORMER 36 KV.</v>
          </cell>
          <cell r="E147">
            <v>25000</v>
          </cell>
          <cell r="F147">
            <v>0</v>
          </cell>
          <cell r="G147" t="str">
            <v>EA.</v>
          </cell>
        </row>
        <row r="148">
          <cell r="C148">
            <v>509</v>
          </cell>
          <cell r="D148" t="str">
            <v>-  VOLTAGE TRANSFORMER 24 KV.</v>
          </cell>
          <cell r="E148">
            <v>32000</v>
          </cell>
          <cell r="F148">
            <v>0</v>
          </cell>
          <cell r="G148" t="str">
            <v>EA.</v>
          </cell>
        </row>
        <row r="149">
          <cell r="C149">
            <v>510</v>
          </cell>
          <cell r="D149" t="str">
            <v>-  VOLTAGE TRANSFORMER 36 KV.</v>
          </cell>
          <cell r="E149">
            <v>50000</v>
          </cell>
          <cell r="F149">
            <v>0</v>
          </cell>
          <cell r="G149" t="str">
            <v>EA.</v>
          </cell>
        </row>
        <row r="150">
          <cell r="C150">
            <v>511</v>
          </cell>
          <cell r="D150" t="str">
            <v>-  35 SQ.MM. TERMINATOR 24 KV. INDOOR TYPE</v>
          </cell>
          <cell r="E150">
            <v>1750</v>
          </cell>
          <cell r="F150">
            <v>1000</v>
          </cell>
          <cell r="G150" t="str">
            <v>SET</v>
          </cell>
        </row>
        <row r="151">
          <cell r="C151">
            <v>512</v>
          </cell>
          <cell r="D151" t="str">
            <v>-  70 SQ.MM. TERMINATOR 24 KV. INDOOR TYPE</v>
          </cell>
          <cell r="E151">
            <v>1850</v>
          </cell>
          <cell r="F151">
            <v>1000</v>
          </cell>
          <cell r="G151" t="str">
            <v>SET</v>
          </cell>
        </row>
        <row r="152">
          <cell r="C152">
            <v>513</v>
          </cell>
          <cell r="D152" t="str">
            <v>-  185 SQ.MM. TERMINATOR 24 KV. INDOOR TYPE</v>
          </cell>
          <cell r="E152">
            <v>2100</v>
          </cell>
          <cell r="F152">
            <v>1000</v>
          </cell>
          <cell r="G152" t="str">
            <v>SET</v>
          </cell>
        </row>
        <row r="153">
          <cell r="C153">
            <v>514</v>
          </cell>
          <cell r="D153" t="str">
            <v>-  400 SQ.MM. TERMINATOR 24 KV. INDOOR TYPE</v>
          </cell>
          <cell r="E153">
            <v>2380</v>
          </cell>
          <cell r="F153">
            <v>1000</v>
          </cell>
          <cell r="G153" t="str">
            <v>SET</v>
          </cell>
        </row>
        <row r="154">
          <cell r="C154">
            <v>515</v>
          </cell>
          <cell r="D154" t="str">
            <v>-  50 SQ.MM. TERMINATOR 36 KV. INDOOR TYPE</v>
          </cell>
          <cell r="E154">
            <v>2750</v>
          </cell>
          <cell r="F154">
            <v>1000</v>
          </cell>
          <cell r="G154" t="str">
            <v>SET</v>
          </cell>
        </row>
        <row r="155">
          <cell r="C155">
            <v>516</v>
          </cell>
          <cell r="D155" t="str">
            <v>-  120 SQ.MM. TERMINATOR 36 KV. INDOOR TYPE</v>
          </cell>
          <cell r="E155">
            <v>3150</v>
          </cell>
          <cell r="F155">
            <v>1000</v>
          </cell>
          <cell r="G155" t="str">
            <v>SET</v>
          </cell>
        </row>
        <row r="156">
          <cell r="C156">
            <v>517</v>
          </cell>
          <cell r="D156" t="str">
            <v>-  185 SQ.MM. TERMINATOR 36 KV. INDOOR TYPE</v>
          </cell>
          <cell r="E156">
            <v>3380</v>
          </cell>
          <cell r="F156">
            <v>1000</v>
          </cell>
          <cell r="G156" t="str">
            <v>SET</v>
          </cell>
        </row>
        <row r="157">
          <cell r="C157">
            <v>518</v>
          </cell>
          <cell r="D157" t="str">
            <v>-  500 SQ.MM. TERMINATOR 36 KV. INDOOR TYPE</v>
          </cell>
          <cell r="E157">
            <v>3800</v>
          </cell>
          <cell r="F157">
            <v>1000</v>
          </cell>
          <cell r="G157" t="str">
            <v>SET</v>
          </cell>
        </row>
        <row r="158">
          <cell r="C158">
            <v>519</v>
          </cell>
          <cell r="D158" t="str">
            <v>-  35 SQ.MM. TERMINATOR 24 KV. OUTDOOR TYPE</v>
          </cell>
          <cell r="E158">
            <v>4400</v>
          </cell>
          <cell r="F158">
            <v>1000</v>
          </cell>
          <cell r="G158" t="str">
            <v>SET</v>
          </cell>
        </row>
        <row r="159">
          <cell r="C159">
            <v>520</v>
          </cell>
          <cell r="D159" t="str">
            <v>-  70 SQ.MM. TERMINATOR 24 KV. OUTDOOR TYPE</v>
          </cell>
          <cell r="E159">
            <v>4600</v>
          </cell>
          <cell r="F159">
            <v>1000</v>
          </cell>
          <cell r="G159" t="str">
            <v>SET</v>
          </cell>
        </row>
        <row r="160">
          <cell r="C160">
            <v>521</v>
          </cell>
          <cell r="D160" t="str">
            <v>-  185 SQ.MM. TERMINATOR 24 KV. OUTDOOR TYPE</v>
          </cell>
          <cell r="E160">
            <v>4950</v>
          </cell>
          <cell r="F160">
            <v>1200</v>
          </cell>
          <cell r="G160" t="str">
            <v>SET</v>
          </cell>
        </row>
        <row r="161">
          <cell r="C161">
            <v>522</v>
          </cell>
          <cell r="D161" t="str">
            <v>-  400 SQ.MM. TERMINATOR 24 KV. OUTDOOR TYPE</v>
          </cell>
          <cell r="E161">
            <v>5400</v>
          </cell>
          <cell r="F161">
            <v>1200</v>
          </cell>
          <cell r="G161" t="str">
            <v>SET</v>
          </cell>
        </row>
        <row r="162">
          <cell r="C162">
            <v>523</v>
          </cell>
          <cell r="D162" t="str">
            <v>-  50 SQ.MM. TERMINATOR 36 KV. OUTDOOR TYPE</v>
          </cell>
          <cell r="E162">
            <v>6300</v>
          </cell>
          <cell r="F162">
            <v>1000</v>
          </cell>
          <cell r="G162" t="str">
            <v>SET</v>
          </cell>
        </row>
        <row r="163">
          <cell r="C163">
            <v>524</v>
          </cell>
          <cell r="D163" t="str">
            <v>-  120 SQ.MM. TERMINATOR 36 KV. OUTDOOR TYPE</v>
          </cell>
          <cell r="E163">
            <v>6800</v>
          </cell>
          <cell r="F163">
            <v>1000</v>
          </cell>
          <cell r="G163" t="str">
            <v>SET</v>
          </cell>
        </row>
        <row r="164">
          <cell r="C164">
            <v>525</v>
          </cell>
          <cell r="D164" t="str">
            <v>-  185 SQ.MM. TERMINATOR 36 KV. OUTDOOR TYPE</v>
          </cell>
          <cell r="E164">
            <v>7600</v>
          </cell>
          <cell r="F164">
            <v>1200</v>
          </cell>
          <cell r="G164" t="str">
            <v>SET</v>
          </cell>
        </row>
        <row r="165">
          <cell r="C165">
            <v>526</v>
          </cell>
          <cell r="D165" t="str">
            <v>-  500 SQ.MM. TERMINATOR 36 KV. OUTDOOR TYPE</v>
          </cell>
          <cell r="E165">
            <v>8000</v>
          </cell>
          <cell r="F165">
            <v>1200</v>
          </cell>
          <cell r="G165" t="str">
            <v>SET</v>
          </cell>
        </row>
        <row r="166">
          <cell r="D166" t="str">
            <v>SPACE</v>
          </cell>
        </row>
        <row r="167">
          <cell r="D167" t="str">
            <v>MANHOLE</v>
          </cell>
        </row>
        <row r="168">
          <cell r="C168">
            <v>551</v>
          </cell>
          <cell r="D168" t="str">
            <v>-  MANHOLE TYPE C</v>
          </cell>
          <cell r="E168">
            <v>15000</v>
          </cell>
          <cell r="F168">
            <v>5000</v>
          </cell>
          <cell r="G168" t="str">
            <v>LOT</v>
          </cell>
        </row>
        <row r="169">
          <cell r="C169">
            <v>552</v>
          </cell>
          <cell r="D169" t="str">
            <v>-  MANHOLE TYPE C - 1</v>
          </cell>
          <cell r="E169">
            <v>19000</v>
          </cell>
          <cell r="F169">
            <v>5000</v>
          </cell>
          <cell r="G169" t="str">
            <v>LOT</v>
          </cell>
        </row>
        <row r="170">
          <cell r="C170">
            <v>553</v>
          </cell>
          <cell r="D170" t="str">
            <v>-  MANHOLE TYPE C - 2</v>
          </cell>
          <cell r="E170">
            <v>14000</v>
          </cell>
          <cell r="F170">
            <v>5000</v>
          </cell>
          <cell r="G170" t="str">
            <v>LOT</v>
          </cell>
        </row>
        <row r="171">
          <cell r="C171">
            <v>554</v>
          </cell>
          <cell r="D171" t="str">
            <v>-  MANHOLE TYPE C - 3</v>
          </cell>
          <cell r="E171">
            <v>15000</v>
          </cell>
          <cell r="F171">
            <v>5000</v>
          </cell>
          <cell r="G171" t="str">
            <v>LOT</v>
          </cell>
        </row>
        <row r="172">
          <cell r="C172">
            <v>555</v>
          </cell>
          <cell r="D172" t="str">
            <v>-  MANHOLE TYPE A - 1</v>
          </cell>
          <cell r="E172">
            <v>40000</v>
          </cell>
          <cell r="F172">
            <v>25000</v>
          </cell>
          <cell r="G172" t="str">
            <v>LOT</v>
          </cell>
        </row>
        <row r="173">
          <cell r="C173">
            <v>556</v>
          </cell>
          <cell r="D173" t="str">
            <v>-  MANHOLE TYPE A - 1/1</v>
          </cell>
          <cell r="E173">
            <v>60000</v>
          </cell>
          <cell r="F173">
            <v>25000</v>
          </cell>
          <cell r="G173" t="str">
            <v>LOT</v>
          </cell>
        </row>
        <row r="174">
          <cell r="C174">
            <v>557</v>
          </cell>
          <cell r="D174" t="str">
            <v>-  MANHOLE TYPE A - 1/2</v>
          </cell>
          <cell r="E174">
            <v>54000</v>
          </cell>
          <cell r="F174">
            <v>22000</v>
          </cell>
          <cell r="G174" t="str">
            <v>LOT</v>
          </cell>
        </row>
        <row r="175">
          <cell r="C175">
            <v>558</v>
          </cell>
          <cell r="D175" t="str">
            <v>-  MANHOLE TYPE A - 1/3</v>
          </cell>
          <cell r="E175">
            <v>54000</v>
          </cell>
          <cell r="F175">
            <v>22000</v>
          </cell>
          <cell r="G175" t="str">
            <v>LOT</v>
          </cell>
        </row>
        <row r="176">
          <cell r="C176">
            <v>559</v>
          </cell>
          <cell r="D176" t="str">
            <v>-  MANHOLE TYPE A - 2</v>
          </cell>
          <cell r="E176">
            <v>49000</v>
          </cell>
          <cell r="F176">
            <v>17000</v>
          </cell>
          <cell r="G176" t="str">
            <v>LOT</v>
          </cell>
        </row>
        <row r="177">
          <cell r="C177">
            <v>560</v>
          </cell>
          <cell r="D177" t="str">
            <v>-  MANHOLE TYPE A - 2/1</v>
          </cell>
          <cell r="E177">
            <v>50000</v>
          </cell>
          <cell r="F177">
            <v>17000</v>
          </cell>
          <cell r="G177" t="str">
            <v>LOT</v>
          </cell>
        </row>
        <row r="178">
          <cell r="C178">
            <v>561</v>
          </cell>
          <cell r="D178" t="str">
            <v>-  MANHOLE TYPE A - 3</v>
          </cell>
          <cell r="E178">
            <v>42000</v>
          </cell>
          <cell r="F178">
            <v>15000</v>
          </cell>
          <cell r="G178" t="str">
            <v>LOT</v>
          </cell>
        </row>
        <row r="179">
          <cell r="C179">
            <v>562</v>
          </cell>
          <cell r="D179" t="str">
            <v>-  MANHOLE TYPE A - 3/1</v>
          </cell>
          <cell r="E179">
            <v>43000</v>
          </cell>
          <cell r="F179">
            <v>16000</v>
          </cell>
          <cell r="G179" t="str">
            <v>LOT</v>
          </cell>
        </row>
        <row r="180">
          <cell r="C180">
            <v>563</v>
          </cell>
          <cell r="D180" t="str">
            <v>-  MANHOLE TYPE A - 4/1</v>
          </cell>
          <cell r="E180">
            <v>60000</v>
          </cell>
          <cell r="F180">
            <v>20000</v>
          </cell>
          <cell r="G180" t="str">
            <v>LOT</v>
          </cell>
        </row>
        <row r="181">
          <cell r="C181">
            <v>564</v>
          </cell>
          <cell r="D181" t="str">
            <v>-  MANHOLE TYPE B - 3/1</v>
          </cell>
          <cell r="E181">
            <v>165000</v>
          </cell>
          <cell r="F181">
            <v>33000</v>
          </cell>
          <cell r="G181" t="str">
            <v>LOT</v>
          </cell>
        </row>
        <row r="182">
          <cell r="C182">
            <v>565</v>
          </cell>
          <cell r="D182" t="str">
            <v>-  MANHOLE TYPE B - 3/15</v>
          </cell>
          <cell r="E182">
            <v>144000</v>
          </cell>
          <cell r="F182">
            <v>46000</v>
          </cell>
          <cell r="G182" t="str">
            <v>LOT</v>
          </cell>
        </row>
        <row r="183">
          <cell r="C183">
            <v>566</v>
          </cell>
          <cell r="D183" t="str">
            <v>-  MANHOLE TYPE B - 3/3</v>
          </cell>
          <cell r="E183">
            <v>110000</v>
          </cell>
          <cell r="F183">
            <v>39000</v>
          </cell>
          <cell r="G183" t="str">
            <v>LOT</v>
          </cell>
        </row>
        <row r="184">
          <cell r="C184">
            <v>567</v>
          </cell>
          <cell r="D184" t="str">
            <v>-  MANHOLE TYPE B - 3/4</v>
          </cell>
          <cell r="E184">
            <v>136000</v>
          </cell>
          <cell r="F184">
            <v>37000</v>
          </cell>
          <cell r="G184" t="str">
            <v>LOT</v>
          </cell>
        </row>
        <row r="185">
          <cell r="C185">
            <v>568</v>
          </cell>
          <cell r="D185" t="str">
            <v>-  MANHOLE TYPE B - 4/1</v>
          </cell>
          <cell r="E185">
            <v>93000</v>
          </cell>
          <cell r="F185">
            <v>29000</v>
          </cell>
          <cell r="G185" t="str">
            <v>LOT</v>
          </cell>
        </row>
        <row r="186">
          <cell r="C186">
            <v>6</v>
          </cell>
          <cell r="D186" t="str">
            <v>HIGH-VOLTAGE SWITCHING EQUIPMENT</v>
          </cell>
        </row>
        <row r="187">
          <cell r="D187" t="str">
            <v>DROPOUT FUSE CUTOUT</v>
          </cell>
        </row>
        <row r="188">
          <cell r="C188">
            <v>601</v>
          </cell>
          <cell r="D188" t="str">
            <v>-  DROPOUT FUSE CUTOUT 24 KV. 100A. 10 KA.</v>
          </cell>
          <cell r="E188">
            <v>6000</v>
          </cell>
          <cell r="F188">
            <v>500</v>
          </cell>
          <cell r="G188" t="str">
            <v>EA.</v>
          </cell>
        </row>
        <row r="189">
          <cell r="C189">
            <v>602</v>
          </cell>
          <cell r="D189" t="str">
            <v>-  DROPOUT FUSE CUTOUT 24 KV. 200A. 10 KA.</v>
          </cell>
          <cell r="E189">
            <v>7500</v>
          </cell>
          <cell r="F189">
            <v>500</v>
          </cell>
          <cell r="G189" t="str">
            <v>EA.</v>
          </cell>
        </row>
        <row r="190">
          <cell r="C190">
            <v>603</v>
          </cell>
          <cell r="D190" t="str">
            <v>-  DROPOUT FUSE CUTOUT 36 KV. 100A. 10 KA.</v>
          </cell>
          <cell r="E190">
            <v>6000</v>
          </cell>
          <cell r="F190">
            <v>500</v>
          </cell>
          <cell r="G190" t="str">
            <v>EA.</v>
          </cell>
        </row>
        <row r="191">
          <cell r="C191">
            <v>604</v>
          </cell>
          <cell r="D191" t="str">
            <v>-  DROPOUT FUSE CUTOUT 36 KV. 200A. 10 KA.</v>
          </cell>
          <cell r="E191">
            <v>14000</v>
          </cell>
          <cell r="F191">
            <v>500</v>
          </cell>
          <cell r="G191" t="str">
            <v>EA.</v>
          </cell>
        </row>
        <row r="192">
          <cell r="D192" t="str">
            <v>SPACE</v>
          </cell>
        </row>
        <row r="193">
          <cell r="D193" t="str">
            <v>LOAD BREAK  (POLE MOUNTED)</v>
          </cell>
        </row>
        <row r="194">
          <cell r="C194">
            <v>611</v>
          </cell>
          <cell r="D194" t="str">
            <v>-  LOAD BREAK SWITCH 25 KV. 600A.</v>
          </cell>
          <cell r="E194">
            <v>200000</v>
          </cell>
          <cell r="F194">
            <v>5000</v>
          </cell>
          <cell r="G194" t="str">
            <v>EA.</v>
          </cell>
        </row>
        <row r="195">
          <cell r="C195">
            <v>612</v>
          </cell>
          <cell r="D195" t="str">
            <v>-  LOAD BREAK SWITCH 35 KV. 600A.</v>
          </cell>
          <cell r="E195">
            <v>288000</v>
          </cell>
          <cell r="F195">
            <v>5000</v>
          </cell>
          <cell r="G195" t="str">
            <v>EA.</v>
          </cell>
        </row>
        <row r="196">
          <cell r="C196">
            <v>613</v>
          </cell>
          <cell r="D196" t="str">
            <v>-  SF6. LOAD BREAK SWITCH 25 KV. 400A. MANUAL OPERATE</v>
          </cell>
          <cell r="E196">
            <v>300000</v>
          </cell>
          <cell r="F196">
            <v>7000</v>
          </cell>
          <cell r="G196" t="str">
            <v>EA.</v>
          </cell>
        </row>
        <row r="197">
          <cell r="C197">
            <v>614</v>
          </cell>
          <cell r="D197" t="str">
            <v>-  SF6. LOAD BREAK SWITCH 25 KV. 400A. MANUAL AND ELECTRIC OPERATE</v>
          </cell>
          <cell r="E197">
            <v>380000</v>
          </cell>
          <cell r="F197">
            <v>7000</v>
          </cell>
          <cell r="G197" t="str">
            <v>EA.</v>
          </cell>
        </row>
        <row r="198">
          <cell r="D198" t="str">
            <v>SPACE</v>
          </cell>
        </row>
        <row r="199">
          <cell r="D199" t="str">
            <v>DISCONNECTING SWITCH</v>
          </cell>
        </row>
        <row r="200">
          <cell r="C200">
            <v>616</v>
          </cell>
          <cell r="D200" t="str">
            <v>-  DISCONNECTING SWITCH 24 KV. 600A.</v>
          </cell>
          <cell r="E200">
            <v>11000</v>
          </cell>
          <cell r="F200">
            <v>1500</v>
          </cell>
          <cell r="G200" t="str">
            <v>EA.</v>
          </cell>
        </row>
        <row r="201">
          <cell r="C201">
            <v>617</v>
          </cell>
          <cell r="D201" t="str">
            <v>-  DISCONNECTING SWITCH 36 KV. 600A.</v>
          </cell>
          <cell r="E201">
            <v>25000</v>
          </cell>
          <cell r="F201">
            <v>1500</v>
          </cell>
          <cell r="G201" t="str">
            <v>EA.</v>
          </cell>
        </row>
        <row r="202">
          <cell r="C202">
            <v>618</v>
          </cell>
          <cell r="D202" t="str">
            <v>-  DISCONNECTING SWITCH 24 KV. 1,200A.</v>
          </cell>
          <cell r="E202">
            <v>25000</v>
          </cell>
          <cell r="F202">
            <v>1500</v>
          </cell>
          <cell r="G202" t="str">
            <v>EA.</v>
          </cell>
        </row>
        <row r="203">
          <cell r="C203">
            <v>619</v>
          </cell>
          <cell r="D203" t="str">
            <v>-  DISCONNECTING SWITCH 36 KV. 1,200A.</v>
          </cell>
          <cell r="E203">
            <v>35000</v>
          </cell>
          <cell r="F203">
            <v>1500</v>
          </cell>
          <cell r="G203" t="str">
            <v>EA.</v>
          </cell>
        </row>
        <row r="204">
          <cell r="D204" t="str">
            <v>SPACE</v>
          </cell>
        </row>
        <row r="205">
          <cell r="D205" t="str">
            <v>LOAD BREAK SWITCH  (INDOOR)</v>
          </cell>
        </row>
        <row r="206">
          <cell r="C206">
            <v>626</v>
          </cell>
          <cell r="D206" t="str">
            <v>-  LOAD BREAK SWITCH 24 KV. 630A. (NONFUSE)</v>
          </cell>
          <cell r="E206">
            <v>70000</v>
          </cell>
          <cell r="F206">
            <v>0</v>
          </cell>
          <cell r="G206" t="str">
            <v>EA.</v>
          </cell>
        </row>
        <row r="207">
          <cell r="C207">
            <v>627</v>
          </cell>
          <cell r="D207" t="str">
            <v>-  LOAD BREAK SWITCH 36 KV. 630A. (NONFUSE)</v>
          </cell>
          <cell r="E207">
            <v>85000</v>
          </cell>
          <cell r="F207">
            <v>0</v>
          </cell>
          <cell r="G207" t="str">
            <v>EA.</v>
          </cell>
        </row>
        <row r="208">
          <cell r="C208">
            <v>628</v>
          </cell>
          <cell r="D208" t="str">
            <v>-  LOAD BREAK SWITCH 24 KV. 630A. (W./FUSE)</v>
          </cell>
          <cell r="E208">
            <v>86000</v>
          </cell>
          <cell r="F208">
            <v>0</v>
          </cell>
          <cell r="G208" t="str">
            <v>EA.</v>
          </cell>
        </row>
        <row r="209">
          <cell r="C209">
            <v>629</v>
          </cell>
          <cell r="D209" t="str">
            <v>-  LOAD BREAK SWITCH 36 KV. 630A. (W./FUSE)</v>
          </cell>
          <cell r="E209">
            <v>115000</v>
          </cell>
          <cell r="F209">
            <v>0</v>
          </cell>
          <cell r="G209" t="str">
            <v>EA.</v>
          </cell>
        </row>
        <row r="210">
          <cell r="D210" t="str">
            <v>SPACE</v>
          </cell>
        </row>
        <row r="211">
          <cell r="C211">
            <v>636</v>
          </cell>
          <cell r="D211" t="str">
            <v xml:space="preserve">-  LOAD BREAK SWITCH 24 KV. 200A. </v>
          </cell>
          <cell r="E211">
            <v>514000</v>
          </cell>
          <cell r="F211">
            <v>8000</v>
          </cell>
          <cell r="G211" t="str">
            <v>EA.</v>
          </cell>
        </row>
        <row r="212">
          <cell r="C212">
            <v>637</v>
          </cell>
          <cell r="D212" t="str">
            <v xml:space="preserve">-  LOAD BREAK SWITCH 24 KV. 200A. </v>
          </cell>
          <cell r="E212">
            <v>819000</v>
          </cell>
          <cell r="F212">
            <v>10000</v>
          </cell>
          <cell r="G212" t="str">
            <v>EA.</v>
          </cell>
        </row>
        <row r="213">
          <cell r="C213">
            <v>638</v>
          </cell>
          <cell r="D213" t="str">
            <v xml:space="preserve">-  LOAD BREAK SWITCH 24 KV. 200A. </v>
          </cell>
          <cell r="E213">
            <v>1123000</v>
          </cell>
          <cell r="F213">
            <v>15000</v>
          </cell>
          <cell r="G213" t="str">
            <v>EA.</v>
          </cell>
        </row>
        <row r="214">
          <cell r="C214">
            <v>639</v>
          </cell>
          <cell r="D214" t="str">
            <v xml:space="preserve">-  LOAD BREAK SWITCH 24 KV. 200A. </v>
          </cell>
          <cell r="E214">
            <v>1224000</v>
          </cell>
          <cell r="F214">
            <v>10000</v>
          </cell>
          <cell r="G214" t="str">
            <v>EA.</v>
          </cell>
        </row>
        <row r="215">
          <cell r="C215">
            <v>640</v>
          </cell>
          <cell r="D215" t="str">
            <v xml:space="preserve">-  LOAD BREAK SWITCH 24 KV. 200A. </v>
          </cell>
          <cell r="E215">
            <v>2238000</v>
          </cell>
          <cell r="F215">
            <v>15000</v>
          </cell>
          <cell r="G215" t="str">
            <v>EA.</v>
          </cell>
        </row>
        <row r="216">
          <cell r="C216">
            <v>641</v>
          </cell>
          <cell r="D216" t="str">
            <v xml:space="preserve">-  LOAD BREAK SWITCH 24 KV. 200A. </v>
          </cell>
          <cell r="E216">
            <v>3252000</v>
          </cell>
          <cell r="F216">
            <v>18000</v>
          </cell>
          <cell r="G216" t="str">
            <v>EA.</v>
          </cell>
        </row>
        <row r="217">
          <cell r="D217" t="str">
            <v>SPACE</v>
          </cell>
        </row>
        <row r="218">
          <cell r="D218" t="str">
            <v>RING MAIN UNIT (SF6)</v>
          </cell>
        </row>
        <row r="219">
          <cell r="C219">
            <v>651</v>
          </cell>
          <cell r="D219" t="str">
            <v>-  3 FUNC 400A. RING MAIN UNIT (DISCONNECTING SWITCH)</v>
          </cell>
          <cell r="E219">
            <v>702000</v>
          </cell>
          <cell r="F219">
            <v>10000</v>
          </cell>
          <cell r="G219" t="str">
            <v>SET</v>
          </cell>
        </row>
        <row r="220">
          <cell r="C220">
            <v>652</v>
          </cell>
          <cell r="D220" t="str">
            <v>-  3 FUNC 400A. RING MAIN UNIT (CIRCUIT BREAKER))</v>
          </cell>
          <cell r="E220">
            <v>702000</v>
          </cell>
          <cell r="F220">
            <v>10000</v>
          </cell>
          <cell r="G220" t="str">
            <v>SET</v>
          </cell>
        </row>
        <row r="221">
          <cell r="C221">
            <v>653</v>
          </cell>
          <cell r="D221" t="str">
            <v>-  4 FUNC 400A. RING MAIN UNIT (DISCONNECTING SWITCH)</v>
          </cell>
          <cell r="E221">
            <v>1014000</v>
          </cell>
          <cell r="F221">
            <v>12000</v>
          </cell>
          <cell r="G221" t="str">
            <v>SET</v>
          </cell>
        </row>
        <row r="222">
          <cell r="C222">
            <v>654</v>
          </cell>
          <cell r="D222" t="str">
            <v>-  4 FUNC 400A. RING MAIN UNIT (CIRCUIT BREAKER))</v>
          </cell>
          <cell r="E222">
            <v>1014000</v>
          </cell>
          <cell r="F222">
            <v>12000</v>
          </cell>
          <cell r="G222" t="str">
            <v>SET</v>
          </cell>
        </row>
        <row r="223">
          <cell r="C223">
            <v>655</v>
          </cell>
          <cell r="D223" t="str">
            <v>-  3 FUNC 600A. RING MAIN UNIT (DISCONNECTING SWITCH)</v>
          </cell>
          <cell r="E223">
            <v>819000</v>
          </cell>
          <cell r="F223">
            <v>12000</v>
          </cell>
          <cell r="G223" t="str">
            <v>SET</v>
          </cell>
        </row>
        <row r="224">
          <cell r="C224">
            <v>656</v>
          </cell>
          <cell r="D224" t="str">
            <v>-  3 FUNC 600A. RING MAIN UNIT (CIRCUIT BREAKER))</v>
          </cell>
          <cell r="E224">
            <v>819000</v>
          </cell>
          <cell r="F224">
            <v>12000</v>
          </cell>
          <cell r="G224" t="str">
            <v>SET</v>
          </cell>
        </row>
        <row r="225">
          <cell r="C225">
            <v>657</v>
          </cell>
          <cell r="D225" t="str">
            <v>-  4 FUNC 600A. RING MAIN UNIT (DISCONNECTING SWITCH)</v>
          </cell>
          <cell r="E225">
            <v>1131000</v>
          </cell>
          <cell r="F225">
            <v>15000</v>
          </cell>
          <cell r="G225" t="str">
            <v>SET</v>
          </cell>
        </row>
        <row r="226">
          <cell r="C226">
            <v>658</v>
          </cell>
          <cell r="D226" t="str">
            <v>-  4 FUNC 600A. RING MAIN UNIT (CIRCUIT BREAKER))</v>
          </cell>
          <cell r="E226">
            <v>1131000</v>
          </cell>
          <cell r="F226">
            <v>15000</v>
          </cell>
          <cell r="G226" t="str">
            <v>SET</v>
          </cell>
        </row>
        <row r="227">
          <cell r="D227" t="str">
            <v>SPACE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C3" t="str">
            <v>N0.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F"/>
      <sheetName val="ประมาณการประตูหน้าต่าง "/>
      <sheetName val="Store"/>
      <sheetName val="ประมาณการประตูหน้าต่าง_1"/>
      <sheetName val="ประมาณการประตูหน้าต่าง_"/>
      <sheetName val="e4"/>
      <sheetName val="รวมราคาทั้งสิ้น"/>
      <sheetName val="SH_A"/>
      <sheetName val="SH_G"/>
      <sheetName val="SH_B"/>
      <sheetName val="SH_C"/>
      <sheetName val="SH_D"/>
      <sheetName val="SH_E"/>
      <sheetName val="정부노임단가"/>
      <sheetName val="2000전체분"/>
      <sheetName val="2000년1차"/>
      <sheetName val="차액보증"/>
      <sheetName val="Equipment"/>
      <sheetName val="Book 1 Summary"/>
      <sheetName val="บทสรุปผู้บริหาร"/>
      <sheetName val="BOQ1 (2)"/>
      <sheetName val="EST-FOOTING (G)"/>
      <sheetName val="QUANTITY COMPARISON"/>
      <sheetName val="Bill No. 2 - Carpark"/>
      <sheetName val="แบบเดิม"/>
      <sheetName val="ประมาณการประตูหน้าต่าง_2"/>
      <sheetName val="Book_1_Summary"/>
      <sheetName val="PL"/>
      <sheetName val="Main Sum (Hotel &amp; Residences)"/>
      <sheetName val="ตารางวันหยุด"/>
      <sheetName val="Summary POL Equip"/>
      <sheetName val="Equipment Rental Price"/>
      <sheetName val="ราคาบ้านแต่ละไตรมาส"/>
      <sheetName val="งานระบบไฟฟ้าและสื่อสาร"/>
      <sheetName val="電気設備表"/>
      <sheetName val="Doc"/>
      <sheetName val="EXF"/>
      <sheetName val="ราคาต่ำสุด-721"/>
      <sheetName val="BK Unit Rate"/>
      <sheetName val="detail"/>
      <sheetName val="Sheet1"/>
      <sheetName val="Quotation"/>
      <sheetName val="S-5"/>
      <sheetName val="ประมาณการประตูหน้าต่าง_3"/>
      <sheetName val="Book_1_Summary1"/>
      <sheetName val="BOQ1_(2)"/>
      <sheetName val="EST-FOOTING_(G)"/>
      <sheetName val="QUANTITY_COMPARISON"/>
      <sheetName val="Bill_No__2_-_Carpark"/>
      <sheetName val="Main_Sum_(Hotel_&amp;_Residences)"/>
      <sheetName val="Summary_POL_Equip"/>
      <sheetName val="Equipment_Rental_Price"/>
      <sheetName val="ค่าวัสดุ"/>
      <sheetName val="boq"/>
      <sheetName val="Sum_EMC"/>
      <sheetName val="ประม_x0000__x0000__x0001__x0000__x0001_ࠀЉ_x0000_쪊疒_xddef__x0000__xdd00__x0000_Ͽ_x0000_ï_x0000_孔I"/>
      <sheetName val="code"/>
      <sheetName val="ยานพาหนะ"/>
      <sheetName val="인원계획-미화"/>
      <sheetName val="AC"/>
      <sheetName val="Cavity Inputs"/>
      <sheetName val="Replacement Cost "/>
      <sheetName val="ประม??_x0001_?_x0001_ࠀЉ?쪊疒_xddef_?_xdd00_?Ͽ?ï?孔I"/>
      <sheetName val="SAN REDUCED 1"/>
      <sheetName val="ประมาณการประตูหน้าต่าง_4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"/>
      <sheetName val="Cavity_Inputs"/>
      <sheetName val="ประมࠀЉ쪊疒Ͽï孔I"/>
      <sheetName val="ประมาณการประตูหน้าต่าง_5"/>
      <sheetName val="LpC"/>
      <sheetName val="BK_Unit_Rate1"/>
      <sheetName val="FAB별"/>
      <sheetName val="ราคาอ้างอิง"/>
      <sheetName val="Present-ex"/>
      <sheetName val="ประม"/>
      <sheetName val="ประม___x0001___x0001_ࠀЉ_쪊疒_xddef___xdd00__Ͽ_ï_孔I"/>
      <sheetName val="SITE OFFICE"/>
      <sheetName val="Factor F Data"/>
      <sheetName val="สรุปราคา (EMC)"/>
      <sheetName val="DETAIL "/>
      <sheetName val="splinkler"/>
      <sheetName val="建築代価"/>
      <sheetName val="เอกอุดร"/>
      <sheetName val="งานโครงสร้าง"/>
      <sheetName val="ประม___x0001___x0001_ࠀЉ_쪊疒�_�_Ͽ_ï_孔I"/>
      <sheetName val="ประม_x005f_x0000__x005f_x0000__x005f_x0001__x0000"/>
      <sheetName val="ประม??_x005f_x0001_?_x005f_x0001_ࠀЉ?쪊疒_xdde"/>
      <sheetName val="ประม___x005f_x0001___x005f_x0001_ࠀЉ_쪊疒_xdde"/>
      <sheetName val="Customize Your Purchase Order"/>
      <sheetName val="ประม_x0000__x0000__x0001__x0000__x0001_ࠀЉ_x0000_쪊疒�_x0000_�_x0000_Ͽ_x0000_ï_x0000_孔I"/>
      <sheetName val="ประม??_x0001_?_x0001_ࠀЉ?쪊疒�?�?Ͽ?ï?孔I"/>
      <sheetName val="Replacement_Cost_"/>
      <sheetName val="Book_1_Summary3"/>
      <sheetName val="BOQ1_(2)2"/>
      <sheetName val="EST-FOOTING_(G)2"/>
      <sheetName val="QUANTITY_COMPARISON2"/>
      <sheetName val="Bill_No__2_-_Carpark2"/>
      <sheetName val="Main_Sum_(Hotel_&amp;_Residences)2"/>
      <sheetName val="Summary_POL_Equip2"/>
      <sheetName val="Equipment_Rental_Price2"/>
      <sheetName val="BK_Unit_Rate2"/>
      <sheetName val="Cavity_Inputs1"/>
      <sheetName val="A"/>
      <sheetName val="schedule "/>
      <sheetName val="s-curve"/>
      <sheetName val=" Cover 090EPY"/>
      <sheetName val="EPY Jan 60"/>
      <sheetName val="ht"/>
      <sheetName val="A-Sum"/>
      <sheetName val="D-สรุป Plaza"/>
      <sheetName val="E-Share Parking"/>
      <sheetName val="F-Landscape"/>
      <sheetName val="I-Soft Cost"/>
      <sheetName val="I-Detail Soft"/>
      <sheetName val="H-Share M&amp;E"/>
      <sheetName val="Cover"/>
      <sheetName val="ตารางส่วนลด EE."/>
      <sheetName val="Exp"/>
      <sheetName val="ประม___x005f_x0001___x005f_x0001_ࠀЉ_쪊疒�_�_Ͽ"/>
      <sheetName val="โครงสร้าง"/>
      <sheetName val="สรุปราคาค่าก่อสร้าง_EMC"/>
      <sheetName val="mapping"/>
      <sheetName val="vendor list"/>
      <sheetName val="SCHEDULE_6"/>
      <sheetName val="SCHEDULE_4"/>
      <sheetName val="21"/>
      <sheetName val="SUM-AIR-Submit"/>
      <sheetName val="covert (2)"/>
      <sheetName val="ประม_x0000__x0000__x0001__x0000"/>
      <sheetName val="ประม___x0001___x0001_ࠀЉ_쪊疒_xdde"/>
      <sheetName val="ประม___x0001___x0001_ࠀЉ_쪊疒�_�_Ͽ"/>
      <sheetName val="งานบริหารโครงสร้างและดำเนินการ"/>
      <sheetName val="สรุป"/>
      <sheetName val="name"/>
      <sheetName val="Final Summary - Base"/>
      <sheetName val="ประม??_x0001_?_x0001_ࠀЉ?쪊疒????Ͽ?ï?孔I"/>
      <sheetName val="ประม___x0001___x0001_ࠀЉ_쪊疒?_?_Ͽ_ï_孔I"/>
      <sheetName val="เตรียมการและบริหารโครงการ"/>
      <sheetName val="Form"/>
      <sheetName val="Structure"/>
      <sheetName val="calc_menu_déroulant"/>
      <sheetName val="P7 "/>
      <sheetName val="STMspry"/>
      <sheetName val="PsychroData"/>
      <sheetName val="หน้า ปมก"/>
      <sheetName val="ประม???ࠀЉ?쪊疒??Ͽ?ï?孔I"/>
      <sheetName val="RateAnalysis"/>
      <sheetName val="วัดใต้"/>
      <sheetName val="rate"/>
      <sheetName val="ประมาณการประตูหน้าต่าง_6"/>
      <sheetName val="SAN_REDUCED_1"/>
      <sheetName val="ประม___ࠀЉ_쪊疒__Ͽ_ï_孔I"/>
      <sheetName val="SITE_OFFICE"/>
      <sheetName val="Factor_F_Data"/>
      <sheetName val="สรุปราคา_(EMC)"/>
      <sheetName val="DETAIL_"/>
      <sheetName val="ประมาณการประตูหน้าต่าง_7"/>
      <sheetName val="BOQ1_(2)3"/>
      <sheetName val="Book_1_Summary4"/>
      <sheetName val="EST-FOOTING_(G)3"/>
      <sheetName val="QUANTITY_COMPARISON3"/>
      <sheetName val="Bill_No__2_-_Carpark3"/>
      <sheetName val="Main_Sum_(Hotel_&amp;_Residences)3"/>
      <sheetName val="Summary_POL_Equip3"/>
      <sheetName val="Equipment_Rental_Price3"/>
      <sheetName val="BK_Unit_Rate3"/>
      <sheetName val="Replacement_Cost_1"/>
      <sheetName val="Cavity_Inputs2"/>
      <sheetName val="SAN_REDUCED_11"/>
      <sheetName val="SITE_OFFICE1"/>
      <sheetName val="Factor_F_Data1"/>
      <sheetName val="สรุปราคา_(EMC)1"/>
      <sheetName val="DETAIL_1"/>
      <sheetName val="ประม??_x005f_x0001_?_x005f_x0001_ࠀЉ?쪊疒�?�?Ͽ"/>
      <sheetName val="l-fixer"/>
      <sheetName val="เงินกู้ธนชาติ"/>
      <sheetName val="เงินกู้ MGC"/>
      <sheetName val="สุขาภิบาล"/>
      <sheetName val="สรุป_EMC"/>
      <sheetName val="2.1.1Take pipe"/>
      <sheetName val="2.1.2Take Copper Pipe"/>
      <sheetName val="FSA"/>
      <sheetName val="QS-Payment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SumP&amp;L current Sites"/>
      <sheetName val="外気負荷"/>
      <sheetName val="footing"/>
      <sheetName val="summary1-3"/>
      <sheetName val="stair"/>
      <sheetName val="purchase order"/>
      <sheetName val="ส่วนลดระบบไฟฟ้า"/>
      <sheetName val="schedule_1"/>
      <sheetName val="SCHEDULE_3"/>
      <sheetName val="SCHEDULE_2"/>
      <sheetName val="cov-estimate"/>
      <sheetName val="Customize_Your_Purchase_Order"/>
      <sheetName val="schedule_"/>
      <sheetName val="_Cover_090EPY"/>
      <sheetName val="EPY_Jan_60"/>
      <sheetName val="D-สรุป_Plaza"/>
      <sheetName val="E-Share_Parking"/>
      <sheetName val="I-Soft_Cost"/>
      <sheetName val="I-Detail_Soft"/>
      <sheetName val="H-Share_M&amp;E"/>
      <sheetName val="List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PRICE LIST"/>
      <sheetName val="ภูมิทัศน์"/>
      <sheetName val="ประม___x0001___x0001_ࠀЉ_쪊疒____Ͽ_ï_孔I"/>
      <sheetName val="ประมาณการประตูหน้าต่าง_8"/>
      <sheetName val="Book_1_Summary5"/>
      <sheetName val="BOQ1_(2)4"/>
      <sheetName val="EST-FOOTING_(G)4"/>
      <sheetName val="QUANTITY_COMPARISON4"/>
      <sheetName val="Bill_No__2_-_Carpark4"/>
      <sheetName val="Main_Sum_(Hotel_&amp;_Residences)4"/>
      <sheetName val="Summary_POL_Equip4"/>
      <sheetName val="Equipment_Rental_Price4"/>
      <sheetName val="BK_Unit_Rate4"/>
      <sheetName val="Replacement_Cost_2"/>
      <sheetName val="Cavity_Inputs3"/>
      <sheetName val="SAN_REDUCED_12"/>
      <sheetName val="SITE_OFFICE2"/>
      <sheetName val="Factor_F_Data2"/>
      <sheetName val="สรุปราคา_(EMC)2"/>
      <sheetName val="DETAIL_2"/>
      <sheetName val="Customize_Your_Purchase_Order1"/>
      <sheetName val="_Cover_090EPY1"/>
      <sheetName val="EPY_Jan_601"/>
      <sheetName val="D-สรุป_Plaza1"/>
      <sheetName val="E-Share_Parking1"/>
      <sheetName val="I-Soft_Cost1"/>
      <sheetName val="I-Detail_Soft1"/>
      <sheetName val="H-Share_M&amp;E1"/>
      <sheetName val="S3 Architectural"/>
      <sheetName val="mat"/>
      <sheetName val="Unit rate Architecture"/>
      <sheetName val="ประม??_x0001__x0000"/>
      <sheetName val="KKC_Brkdwn"/>
      <sheetName val="Manpower"/>
      <sheetName val="H1.0"/>
      <sheetName val="ประม??_x005f_x0001_?_x005f_x0001_ࠀЉ?쪊疒????Ͽ"/>
      <sheetName val="ประม___x005f_x0001___x005f_x0001_ࠀЉ_쪊疒?_?_Ͽ"/>
      <sheetName val="ประม_x005f_x005f_x005f_x0000__x005f_x005f_x005f_x0000__"/>
      <sheetName val="ประม??_x005f_x005f_x005f_x0001_?_x005f_x005f_x000"/>
      <sheetName val="ประม___x005f_x005f_x005f_x0001___x005f_x005f_x000"/>
      <sheetName val="Book_1_Summary6"/>
      <sheetName val="BOQ1_(2)5"/>
      <sheetName val="EST-FOOTING_(G)5"/>
      <sheetName val="QUANTITY_COMPARISON5"/>
      <sheetName val="Bill_No__2_-_Carpark5"/>
      <sheetName val="Main_Sum_(Hotel_&amp;_Residences)5"/>
      <sheetName val="Summary_POL_Equip5"/>
      <sheetName val="Equipment_Rental_Price5"/>
      <sheetName val="BK_Unit_Rate5"/>
      <sheetName val="Cavity_Inputs4"/>
      <sheetName val="Replacement_Cost_3"/>
      <sheetName val="Customize_Your_Purchase_Order2"/>
      <sheetName val="_Cover_090EPY2"/>
      <sheetName val="EPY_Jan_602"/>
      <sheetName val="D-สรุป_Plaza2"/>
      <sheetName val="E-Share_Parking2"/>
      <sheetName val="I-Soft_Cost2"/>
      <sheetName val="I-Detail_Soft2"/>
      <sheetName val="H-Share_M&amp;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>
            <v>0</v>
          </cell>
          <cell r="D5" t="str">
            <v>TELEPHONE, TELECOMMUNICATION AND</v>
          </cell>
        </row>
        <row r="6">
          <cell r="C6">
            <v>1</v>
          </cell>
          <cell r="D6" t="str">
            <v>FIRE ALARM SYSTEM</v>
          </cell>
        </row>
        <row r="7">
          <cell r="C7">
            <v>101</v>
          </cell>
          <cell r="D7" t="str">
            <v>TELEPHONE</v>
          </cell>
          <cell r="E7">
            <v>2</v>
          </cell>
          <cell r="F7">
            <v>0.5</v>
          </cell>
          <cell r="G7" t="str">
            <v>M.</v>
          </cell>
        </row>
        <row r="8">
          <cell r="C8">
            <v>1</v>
          </cell>
          <cell r="D8" t="str">
            <v>TELEPHONE WIRE</v>
          </cell>
          <cell r="E8">
            <v>3</v>
          </cell>
          <cell r="F8">
            <v>0.5</v>
          </cell>
          <cell r="G8" t="str">
            <v>M.</v>
          </cell>
        </row>
        <row r="9">
          <cell r="C9">
            <v>101</v>
          </cell>
          <cell r="D9" t="str">
            <v>-  2/C - 0.5 MM. TIEV</v>
          </cell>
          <cell r="E9">
            <v>4.7</v>
          </cell>
          <cell r="F9">
            <v>1</v>
          </cell>
          <cell r="G9" t="str">
            <v>M.</v>
          </cell>
        </row>
        <row r="10">
          <cell r="C10">
            <v>102</v>
          </cell>
          <cell r="D10" t="str">
            <v>-  3/C - 0.5 MM. TIEV</v>
          </cell>
          <cell r="E10">
            <v>5.4</v>
          </cell>
          <cell r="F10">
            <v>1</v>
          </cell>
          <cell r="G10" t="str">
            <v>M.</v>
          </cell>
        </row>
        <row r="11">
          <cell r="C11">
            <v>103</v>
          </cell>
          <cell r="D11" t="str">
            <v>-  4/C - 0.5 MM. TIEV</v>
          </cell>
          <cell r="E11">
            <v>6.4</v>
          </cell>
          <cell r="F11">
            <v>1</v>
          </cell>
          <cell r="G11" t="str">
            <v>M.</v>
          </cell>
        </row>
        <row r="12">
          <cell r="C12">
            <v>104</v>
          </cell>
          <cell r="D12" t="str">
            <v>-  5/C - 0.5 MM. TIEV</v>
          </cell>
          <cell r="E12">
            <v>7.9</v>
          </cell>
          <cell r="F12">
            <v>1</v>
          </cell>
          <cell r="G12" t="str">
            <v>M.</v>
          </cell>
        </row>
        <row r="13">
          <cell r="C13">
            <v>105</v>
          </cell>
          <cell r="D13" t="str">
            <v>-  6/C - 0.5 MM. TIEV</v>
          </cell>
          <cell r="E13">
            <v>8.5</v>
          </cell>
          <cell r="F13">
            <v>1</v>
          </cell>
          <cell r="G13" t="str">
            <v>M.</v>
          </cell>
        </row>
        <row r="14">
          <cell r="C14">
            <v>106</v>
          </cell>
          <cell r="D14" t="str">
            <v>-  2/C - 0.65 MM. TIEV</v>
          </cell>
          <cell r="E14">
            <v>6.15</v>
          </cell>
          <cell r="F14">
            <v>1</v>
          </cell>
          <cell r="G14" t="str">
            <v>M.</v>
          </cell>
        </row>
        <row r="15">
          <cell r="C15">
            <v>107</v>
          </cell>
          <cell r="D15" t="str">
            <v>-  3/C - 0.65 MM. TIEV</v>
          </cell>
          <cell r="E15">
            <v>7.35</v>
          </cell>
          <cell r="F15">
            <v>1</v>
          </cell>
          <cell r="G15" t="str">
            <v>M.</v>
          </cell>
        </row>
        <row r="16">
          <cell r="C16">
            <v>108</v>
          </cell>
          <cell r="D16" t="str">
            <v>-  4/C - 0.65 MM. TIEV</v>
          </cell>
          <cell r="E16">
            <v>8.8000000000000007</v>
          </cell>
          <cell r="F16">
            <v>1</v>
          </cell>
          <cell r="G16" t="str">
            <v>M.</v>
          </cell>
        </row>
        <row r="17">
          <cell r="C17">
            <v>109</v>
          </cell>
          <cell r="D17" t="str">
            <v>-  5/C - 0.65 MM. TIEV</v>
          </cell>
          <cell r="E17">
            <v>10.4</v>
          </cell>
          <cell r="F17">
            <v>1</v>
          </cell>
          <cell r="G17" t="str">
            <v>M.</v>
          </cell>
        </row>
        <row r="18">
          <cell r="C18">
            <v>110</v>
          </cell>
          <cell r="D18" t="str">
            <v>-  6/C - 0.65 MM. TIEV</v>
          </cell>
          <cell r="E18">
            <v>12.2</v>
          </cell>
          <cell r="F18">
            <v>1</v>
          </cell>
          <cell r="G18" t="str">
            <v>M.</v>
          </cell>
        </row>
        <row r="19">
          <cell r="C19">
            <v>111</v>
          </cell>
          <cell r="D19" t="str">
            <v>-  4 PRS. - 0.5 MM. TPEV</v>
          </cell>
          <cell r="E19">
            <v>23</v>
          </cell>
          <cell r="F19">
            <v>1</v>
          </cell>
          <cell r="G19" t="str">
            <v>M.</v>
          </cell>
        </row>
        <row r="20">
          <cell r="C20">
            <v>112</v>
          </cell>
          <cell r="D20" t="str">
            <v>-  5 PRS. - 0.5 MM. TPEV</v>
          </cell>
          <cell r="E20">
            <v>30</v>
          </cell>
          <cell r="F20">
            <v>2</v>
          </cell>
          <cell r="G20" t="str">
            <v>M.</v>
          </cell>
        </row>
        <row r="21">
          <cell r="C21">
            <v>113</v>
          </cell>
          <cell r="D21" t="str">
            <v>-  6 PRS. - 0.5 MM. TPEV</v>
          </cell>
          <cell r="E21">
            <v>31</v>
          </cell>
          <cell r="F21">
            <v>2</v>
          </cell>
          <cell r="G21" t="str">
            <v>M.</v>
          </cell>
        </row>
        <row r="22">
          <cell r="C22">
            <v>114</v>
          </cell>
          <cell r="D22" t="str">
            <v>-  8 PRS. - 0.5 MM. TPEV</v>
          </cell>
          <cell r="E22">
            <v>34</v>
          </cell>
          <cell r="F22">
            <v>4</v>
          </cell>
          <cell r="G22" t="str">
            <v>M.</v>
          </cell>
        </row>
        <row r="23">
          <cell r="C23">
            <v>115</v>
          </cell>
          <cell r="D23" t="str">
            <v>-  10 PRS. - 0.5 MM. TPEV</v>
          </cell>
          <cell r="E23">
            <v>40</v>
          </cell>
          <cell r="F23">
            <v>6</v>
          </cell>
          <cell r="G23" t="str">
            <v>M.</v>
          </cell>
        </row>
        <row r="24">
          <cell r="C24">
            <v>116</v>
          </cell>
          <cell r="D24" t="str">
            <v>-  12 PRS. - 0.5 MM. TPEV</v>
          </cell>
          <cell r="E24">
            <v>45</v>
          </cell>
          <cell r="F24">
            <v>7</v>
          </cell>
          <cell r="G24" t="str">
            <v>M.</v>
          </cell>
        </row>
        <row r="25">
          <cell r="C25">
            <v>117</v>
          </cell>
          <cell r="D25" t="str">
            <v>-  15 PRS. - 0.5 MM. TPEV</v>
          </cell>
          <cell r="E25">
            <v>50</v>
          </cell>
          <cell r="F25">
            <v>9</v>
          </cell>
          <cell r="G25" t="str">
            <v>M.</v>
          </cell>
        </row>
        <row r="26">
          <cell r="C26">
            <v>118</v>
          </cell>
          <cell r="D26" t="str">
            <v>-  20 PRS. - 0.5 MM. TPEV</v>
          </cell>
          <cell r="E26">
            <v>60</v>
          </cell>
          <cell r="F26">
            <v>11</v>
          </cell>
          <cell r="G26" t="str">
            <v>M.</v>
          </cell>
        </row>
        <row r="27">
          <cell r="C27">
            <v>119</v>
          </cell>
          <cell r="D27" t="str">
            <v>-  25 PRS. - 0.5 MM. TPEV</v>
          </cell>
          <cell r="E27">
            <v>71</v>
          </cell>
          <cell r="F27">
            <v>13</v>
          </cell>
          <cell r="G27" t="str">
            <v>M.</v>
          </cell>
        </row>
        <row r="28">
          <cell r="C28">
            <v>120</v>
          </cell>
          <cell r="D28" t="str">
            <v>-  30 PRS. - 0.5 MM. TPEV</v>
          </cell>
          <cell r="E28">
            <v>85</v>
          </cell>
          <cell r="F28">
            <v>15</v>
          </cell>
          <cell r="G28" t="str">
            <v>M.</v>
          </cell>
        </row>
        <row r="29">
          <cell r="C29">
            <v>121</v>
          </cell>
          <cell r="D29" t="str">
            <v>-  40 PRS. - 0.5 MM. TPEV</v>
          </cell>
          <cell r="E29">
            <v>103</v>
          </cell>
          <cell r="F29">
            <v>17</v>
          </cell>
          <cell r="G29" t="str">
            <v>M.</v>
          </cell>
        </row>
        <row r="30">
          <cell r="C30">
            <v>122</v>
          </cell>
          <cell r="D30" t="str">
            <v>-  50 PRS. - 0.5 MM. TPEV</v>
          </cell>
          <cell r="E30">
            <v>120</v>
          </cell>
          <cell r="F30">
            <v>20</v>
          </cell>
          <cell r="G30" t="str">
            <v>M.</v>
          </cell>
        </row>
        <row r="31">
          <cell r="C31">
            <v>125</v>
          </cell>
          <cell r="D31" t="str">
            <v>SPACE</v>
          </cell>
          <cell r="E31">
            <v>22.5</v>
          </cell>
          <cell r="F31">
            <v>18</v>
          </cell>
          <cell r="G31" t="str">
            <v>M.</v>
          </cell>
        </row>
        <row r="32">
          <cell r="C32">
            <v>127</v>
          </cell>
          <cell r="D32" t="str">
            <v>-  4 PRS. - 0.65 MM. TPEV</v>
          </cell>
          <cell r="E32">
            <v>34</v>
          </cell>
          <cell r="F32">
            <v>1</v>
          </cell>
          <cell r="G32" t="str">
            <v>M.</v>
          </cell>
        </row>
        <row r="33">
          <cell r="C33">
            <v>128</v>
          </cell>
          <cell r="D33" t="str">
            <v>-  5 PRS. - 0.65 MM. TPEV</v>
          </cell>
          <cell r="E33">
            <v>38</v>
          </cell>
          <cell r="F33">
            <v>2</v>
          </cell>
          <cell r="G33" t="str">
            <v>M.</v>
          </cell>
        </row>
        <row r="34">
          <cell r="C34">
            <v>129</v>
          </cell>
          <cell r="D34" t="str">
            <v>-  6 PRS. - 0.65 MM. TPEV</v>
          </cell>
          <cell r="E34">
            <v>41</v>
          </cell>
          <cell r="F34">
            <v>2</v>
          </cell>
          <cell r="G34" t="str">
            <v>M.</v>
          </cell>
        </row>
        <row r="35">
          <cell r="C35">
            <v>130</v>
          </cell>
          <cell r="D35" t="str">
            <v>-  8 PRS. - 0.65 MM. TPEV</v>
          </cell>
          <cell r="E35">
            <v>47</v>
          </cell>
          <cell r="F35">
            <v>4</v>
          </cell>
          <cell r="G35" t="str">
            <v>M.</v>
          </cell>
        </row>
        <row r="36">
          <cell r="C36">
            <v>131</v>
          </cell>
          <cell r="D36" t="str">
            <v>-  10 PRS. - 0.65 MM. TPEV</v>
          </cell>
          <cell r="E36">
            <v>55</v>
          </cell>
          <cell r="F36">
            <v>6</v>
          </cell>
          <cell r="G36" t="str">
            <v>M.</v>
          </cell>
        </row>
        <row r="37">
          <cell r="C37">
            <v>132</v>
          </cell>
          <cell r="D37" t="str">
            <v>-  12 PRS. - 0.65 MM. TPEV</v>
          </cell>
          <cell r="E37">
            <v>62</v>
          </cell>
          <cell r="F37">
            <v>7</v>
          </cell>
          <cell r="G37" t="str">
            <v>M.</v>
          </cell>
        </row>
        <row r="38">
          <cell r="C38">
            <v>133</v>
          </cell>
          <cell r="D38" t="str">
            <v>-  15 PRS. - 0.65 MM. TPEV</v>
          </cell>
          <cell r="E38">
            <v>70</v>
          </cell>
          <cell r="F38">
            <v>9</v>
          </cell>
          <cell r="G38" t="str">
            <v>M.</v>
          </cell>
        </row>
        <row r="39">
          <cell r="C39">
            <v>134</v>
          </cell>
          <cell r="D39" t="str">
            <v>-  20 PRS. - 0.65 MM. TPEV</v>
          </cell>
          <cell r="E39">
            <v>85</v>
          </cell>
          <cell r="F39">
            <v>11</v>
          </cell>
          <cell r="G39" t="str">
            <v>M.</v>
          </cell>
        </row>
        <row r="40">
          <cell r="C40">
            <v>135</v>
          </cell>
          <cell r="D40" t="str">
            <v>-  25 PRS. - 0.65 MM. TPEV</v>
          </cell>
          <cell r="E40">
            <v>100</v>
          </cell>
          <cell r="F40">
            <v>13</v>
          </cell>
          <cell r="G40" t="str">
            <v>M.</v>
          </cell>
        </row>
        <row r="41">
          <cell r="C41">
            <v>136</v>
          </cell>
          <cell r="D41" t="str">
            <v>-  30 PRS. - 0.65 MM. TPEV</v>
          </cell>
          <cell r="E41">
            <v>116</v>
          </cell>
          <cell r="F41">
            <v>15</v>
          </cell>
          <cell r="G41" t="str">
            <v>M.</v>
          </cell>
        </row>
        <row r="42">
          <cell r="C42">
            <v>137</v>
          </cell>
          <cell r="D42" t="str">
            <v>-  40 PRS. - 0.65 MM. TPEV</v>
          </cell>
          <cell r="E42">
            <v>145</v>
          </cell>
          <cell r="F42">
            <v>17</v>
          </cell>
          <cell r="G42" t="str">
            <v>M.</v>
          </cell>
        </row>
        <row r="43">
          <cell r="C43">
            <v>138</v>
          </cell>
          <cell r="D43" t="str">
            <v>-  50 PRS. - 0.65 MM. TPEV</v>
          </cell>
          <cell r="E43">
            <v>175</v>
          </cell>
          <cell r="F43">
            <v>20</v>
          </cell>
          <cell r="G43" t="str">
            <v>M.</v>
          </cell>
        </row>
        <row r="44">
          <cell r="C44">
            <v>139</v>
          </cell>
          <cell r="D44" t="str">
            <v>-  4 PRS. - 0.5 MM. AP</v>
          </cell>
          <cell r="E44">
            <v>82</v>
          </cell>
          <cell r="F44">
            <v>6</v>
          </cell>
          <cell r="G44" t="str">
            <v>M.</v>
          </cell>
        </row>
        <row r="45">
          <cell r="C45">
            <v>140</v>
          </cell>
          <cell r="D45" t="str">
            <v>-  5 PRS. - 0.5 MM. AP</v>
          </cell>
          <cell r="E45">
            <v>84</v>
          </cell>
          <cell r="F45">
            <v>7</v>
          </cell>
          <cell r="G45" t="str">
            <v>M.</v>
          </cell>
        </row>
        <row r="46">
          <cell r="C46">
            <v>141</v>
          </cell>
          <cell r="D46" t="str">
            <v>-  6 PRS. - 0.5 MM. AP</v>
          </cell>
          <cell r="E46">
            <v>86</v>
          </cell>
          <cell r="F46">
            <v>8</v>
          </cell>
          <cell r="G46" t="str">
            <v>M.</v>
          </cell>
        </row>
        <row r="47">
          <cell r="C47">
            <v>142</v>
          </cell>
          <cell r="D47" t="str">
            <v>-  8 PRS. - 0.5 MM. AP</v>
          </cell>
          <cell r="E47">
            <v>0</v>
          </cell>
          <cell r="F47">
            <v>0</v>
          </cell>
          <cell r="G47" t="str">
            <v>M.</v>
          </cell>
        </row>
        <row r="48">
          <cell r="C48">
            <v>143</v>
          </cell>
          <cell r="D48" t="str">
            <v>-  10 PRS. - 0.5 MM. AP</v>
          </cell>
          <cell r="E48">
            <v>95</v>
          </cell>
          <cell r="F48">
            <v>9</v>
          </cell>
          <cell r="G48" t="str">
            <v>M.</v>
          </cell>
        </row>
        <row r="49">
          <cell r="C49">
            <v>144</v>
          </cell>
          <cell r="D49" t="str">
            <v>-  12 PRS. - 0.5 MM. AP</v>
          </cell>
          <cell r="E49">
            <v>100</v>
          </cell>
          <cell r="F49">
            <v>10</v>
          </cell>
          <cell r="G49" t="str">
            <v>M.</v>
          </cell>
        </row>
        <row r="50">
          <cell r="C50">
            <v>145</v>
          </cell>
          <cell r="D50" t="str">
            <v>-  15 PRS. - 0.5 MM. AP</v>
          </cell>
          <cell r="E50">
            <v>107</v>
          </cell>
          <cell r="F50">
            <v>11</v>
          </cell>
          <cell r="G50" t="str">
            <v>M.</v>
          </cell>
        </row>
        <row r="51">
          <cell r="C51">
            <v>146</v>
          </cell>
          <cell r="D51" t="str">
            <v>-  20 PRS. - 0.5 MM. AP</v>
          </cell>
          <cell r="E51">
            <v>122</v>
          </cell>
          <cell r="F51">
            <v>13</v>
          </cell>
          <cell r="G51" t="str">
            <v>M.</v>
          </cell>
        </row>
        <row r="52">
          <cell r="C52">
            <v>147</v>
          </cell>
          <cell r="D52" t="str">
            <v>-  25 PRS. - 0.5 MM. AP</v>
          </cell>
          <cell r="E52">
            <v>126</v>
          </cell>
          <cell r="F52">
            <v>19</v>
          </cell>
          <cell r="G52" t="str">
            <v>M.</v>
          </cell>
        </row>
        <row r="53">
          <cell r="C53">
            <v>148</v>
          </cell>
          <cell r="D53" t="str">
            <v>-  30 PRS. - 0.5 MM. AP</v>
          </cell>
          <cell r="E53">
            <v>139</v>
          </cell>
          <cell r="F53">
            <v>18</v>
          </cell>
          <cell r="G53" t="str">
            <v>M.</v>
          </cell>
        </row>
        <row r="54">
          <cell r="C54">
            <v>149</v>
          </cell>
          <cell r="D54" t="str">
            <v>-  40 PRS. - 0.5 MM. AP</v>
          </cell>
          <cell r="E54">
            <v>0</v>
          </cell>
          <cell r="F54">
            <v>0</v>
          </cell>
          <cell r="G54" t="str">
            <v>M.</v>
          </cell>
        </row>
        <row r="55">
          <cell r="C55">
            <v>150</v>
          </cell>
          <cell r="D55" t="str">
            <v>-  50 PRS. - 0.5 MM. AP</v>
          </cell>
          <cell r="E55">
            <v>186</v>
          </cell>
          <cell r="F55">
            <v>20</v>
          </cell>
          <cell r="G55" t="str">
            <v>M.</v>
          </cell>
        </row>
        <row r="56">
          <cell r="C56">
            <v>151</v>
          </cell>
          <cell r="D56" t="str">
            <v>-  75 PRS. - 0.5 MM. AP</v>
          </cell>
          <cell r="E56">
            <v>246</v>
          </cell>
          <cell r="F56">
            <v>30</v>
          </cell>
          <cell r="G56" t="str">
            <v>M.</v>
          </cell>
        </row>
        <row r="57">
          <cell r="C57">
            <v>152</v>
          </cell>
          <cell r="D57" t="str">
            <v>-  100 PRS. - 0.5 MM. AP</v>
          </cell>
          <cell r="E57">
            <v>293</v>
          </cell>
          <cell r="F57">
            <v>35</v>
          </cell>
          <cell r="G57" t="str">
            <v>M.</v>
          </cell>
        </row>
        <row r="58">
          <cell r="C58">
            <v>153</v>
          </cell>
          <cell r="D58" t="str">
            <v>-  150 PRS. - 0.5 MM. AP</v>
          </cell>
          <cell r="E58">
            <v>420</v>
          </cell>
          <cell r="F58">
            <v>40</v>
          </cell>
          <cell r="G58" t="str">
            <v>M.</v>
          </cell>
        </row>
        <row r="59">
          <cell r="C59">
            <v>154</v>
          </cell>
          <cell r="D59" t="str">
            <v>-  200 PRS. - 0.5 MM. AP</v>
          </cell>
          <cell r="E59">
            <v>530</v>
          </cell>
          <cell r="F59">
            <v>60</v>
          </cell>
          <cell r="G59" t="str">
            <v>M.</v>
          </cell>
        </row>
        <row r="60">
          <cell r="C60">
            <v>155</v>
          </cell>
          <cell r="D60" t="str">
            <v>-  4 PRS. - 0.65 MM. AP</v>
          </cell>
          <cell r="E60">
            <v>88</v>
          </cell>
          <cell r="F60">
            <v>6</v>
          </cell>
          <cell r="G60" t="str">
            <v>M.</v>
          </cell>
        </row>
        <row r="61">
          <cell r="C61">
            <v>156</v>
          </cell>
          <cell r="D61" t="str">
            <v>-  5 PRS. - 0.65 MM. AP</v>
          </cell>
          <cell r="E61">
            <v>92</v>
          </cell>
          <cell r="F61">
            <v>7</v>
          </cell>
          <cell r="G61" t="str">
            <v>M.</v>
          </cell>
        </row>
        <row r="62">
          <cell r="C62">
            <v>157</v>
          </cell>
          <cell r="D62" t="str">
            <v>-  6 PRS. - 0.65 MM. AP</v>
          </cell>
          <cell r="E62">
            <v>95</v>
          </cell>
          <cell r="F62">
            <v>8</v>
          </cell>
          <cell r="G62" t="str">
            <v>M.</v>
          </cell>
        </row>
        <row r="63">
          <cell r="C63">
            <v>158</v>
          </cell>
          <cell r="D63" t="str">
            <v>-  8 PRS. - 0.65 MM. AP</v>
          </cell>
          <cell r="E63">
            <v>0</v>
          </cell>
          <cell r="F63">
            <v>0</v>
          </cell>
          <cell r="G63" t="str">
            <v>M.</v>
          </cell>
        </row>
        <row r="64">
          <cell r="C64">
            <v>159</v>
          </cell>
          <cell r="D64" t="str">
            <v>-  10 PRS. - 0.65 MM. AP</v>
          </cell>
          <cell r="E64">
            <v>109</v>
          </cell>
          <cell r="F64">
            <v>9</v>
          </cell>
          <cell r="G64" t="str">
            <v>M.</v>
          </cell>
        </row>
        <row r="65">
          <cell r="C65">
            <v>160</v>
          </cell>
          <cell r="D65" t="str">
            <v>-  12 PRS. - 0.65 MM. AP</v>
          </cell>
          <cell r="E65">
            <v>119</v>
          </cell>
          <cell r="F65">
            <v>10</v>
          </cell>
          <cell r="G65" t="str">
            <v>M.</v>
          </cell>
        </row>
        <row r="66">
          <cell r="C66">
            <v>161</v>
          </cell>
          <cell r="D66" t="str">
            <v>-  15 PRS. - 0.65 MM. AP</v>
          </cell>
          <cell r="E66">
            <v>130</v>
          </cell>
          <cell r="F66">
            <v>11</v>
          </cell>
          <cell r="G66" t="str">
            <v>M.</v>
          </cell>
        </row>
        <row r="67">
          <cell r="C67">
            <v>162</v>
          </cell>
          <cell r="D67" t="str">
            <v>-  20 PRS. - 0.65 MM. AP</v>
          </cell>
          <cell r="E67">
            <v>147</v>
          </cell>
          <cell r="F67">
            <v>13</v>
          </cell>
          <cell r="G67" t="str">
            <v>M.</v>
          </cell>
        </row>
        <row r="68">
          <cell r="C68">
            <v>163</v>
          </cell>
          <cell r="D68" t="str">
            <v>-  25 PRS. - 0.65 MM. AP</v>
          </cell>
          <cell r="E68">
            <v>156</v>
          </cell>
          <cell r="F68">
            <v>15</v>
          </cell>
          <cell r="G68" t="str">
            <v>M.</v>
          </cell>
        </row>
        <row r="69">
          <cell r="C69">
            <v>164</v>
          </cell>
          <cell r="D69" t="str">
            <v>-  30 PRS. - 0.65 MM. AP</v>
          </cell>
          <cell r="E69">
            <v>180</v>
          </cell>
          <cell r="F69">
            <v>18</v>
          </cell>
          <cell r="G69" t="str">
            <v>M.</v>
          </cell>
        </row>
        <row r="70">
          <cell r="C70">
            <v>165</v>
          </cell>
          <cell r="D70" t="str">
            <v>-  40 PRS. - 0.65 MM. AP</v>
          </cell>
          <cell r="E70">
            <v>0</v>
          </cell>
          <cell r="F70">
            <v>0</v>
          </cell>
          <cell r="G70" t="str">
            <v>M.</v>
          </cell>
        </row>
        <row r="71">
          <cell r="C71">
            <v>166</v>
          </cell>
          <cell r="D71" t="str">
            <v>-  50 PRS. - 0.65 MM. AP</v>
          </cell>
          <cell r="E71">
            <v>254</v>
          </cell>
          <cell r="F71">
            <v>20</v>
          </cell>
          <cell r="G71" t="str">
            <v>M.</v>
          </cell>
        </row>
        <row r="72">
          <cell r="C72">
            <v>167</v>
          </cell>
          <cell r="D72" t="str">
            <v>-  75 PRS. - 0.65 MM. AP</v>
          </cell>
          <cell r="E72">
            <v>330</v>
          </cell>
          <cell r="F72">
            <v>30</v>
          </cell>
          <cell r="G72" t="str">
            <v>M.</v>
          </cell>
        </row>
        <row r="73">
          <cell r="C73">
            <v>168</v>
          </cell>
          <cell r="D73" t="str">
            <v>-  100 PRS. - 0.65 MM. AP</v>
          </cell>
          <cell r="E73">
            <v>405</v>
          </cell>
          <cell r="F73">
            <v>35</v>
          </cell>
          <cell r="G73" t="str">
            <v>M.</v>
          </cell>
        </row>
        <row r="74">
          <cell r="C74">
            <v>169</v>
          </cell>
          <cell r="D74" t="str">
            <v>-  150 PRS. - 0.65 MM. AP</v>
          </cell>
          <cell r="E74">
            <v>590</v>
          </cell>
          <cell r="F74">
            <v>40</v>
          </cell>
          <cell r="G74" t="str">
            <v>M.</v>
          </cell>
        </row>
        <row r="75">
          <cell r="C75">
            <v>170</v>
          </cell>
          <cell r="D75" t="str">
            <v>-  200 PRS. - 0.65 MM. AP</v>
          </cell>
          <cell r="E75">
            <v>790</v>
          </cell>
          <cell r="F75">
            <v>60</v>
          </cell>
          <cell r="G75" t="str">
            <v>M.</v>
          </cell>
        </row>
        <row r="76">
          <cell r="C76">
            <v>170</v>
          </cell>
          <cell r="D76" t="str">
            <v>SPACE</v>
          </cell>
          <cell r="E76">
            <v>1512</v>
          </cell>
          <cell r="F76">
            <v>90</v>
          </cell>
          <cell r="G76" t="str">
            <v>M.</v>
          </cell>
        </row>
        <row r="77">
          <cell r="C77">
            <v>171</v>
          </cell>
          <cell r="D77" t="str">
            <v>FIRE RESISTANT CABLE</v>
          </cell>
          <cell r="E77">
            <v>1861</v>
          </cell>
          <cell r="F77">
            <v>100</v>
          </cell>
          <cell r="G77" t="str">
            <v>M.</v>
          </cell>
        </row>
        <row r="78">
          <cell r="C78">
            <v>171</v>
          </cell>
          <cell r="D78" t="str">
            <v>-  2 PRS. - 1.75 MM. FR TELEPHONE CABLE</v>
          </cell>
          <cell r="E78">
            <v>0</v>
          </cell>
          <cell r="F78">
            <v>3</v>
          </cell>
          <cell r="G78" t="str">
            <v>M.</v>
          </cell>
        </row>
        <row r="79">
          <cell r="C79">
            <v>172</v>
          </cell>
          <cell r="D79" t="str">
            <v>-  3 PRS. - 1.75 MM. FR TELEPHONE CABLE</v>
          </cell>
          <cell r="E79">
            <v>0</v>
          </cell>
          <cell r="F79">
            <v>3</v>
          </cell>
          <cell r="G79" t="str">
            <v>M.</v>
          </cell>
        </row>
        <row r="80">
          <cell r="C80">
            <v>173</v>
          </cell>
          <cell r="D80" t="str">
            <v>-  4 PRS. - 1.75 MM. FR TELEPHONE CABLE</v>
          </cell>
          <cell r="E80">
            <v>0</v>
          </cell>
          <cell r="F80">
            <v>3</v>
          </cell>
          <cell r="G80" t="str">
            <v>M.</v>
          </cell>
        </row>
        <row r="81">
          <cell r="C81">
            <v>174</v>
          </cell>
          <cell r="D81" t="str">
            <v>-  5 PRS. - 1.75 MM. FR TELEPHONE CABLE</v>
          </cell>
          <cell r="E81">
            <v>0</v>
          </cell>
          <cell r="F81">
            <v>3</v>
          </cell>
          <cell r="G81" t="str">
            <v>M.</v>
          </cell>
        </row>
        <row r="82">
          <cell r="C82">
            <v>175</v>
          </cell>
          <cell r="D82" t="str">
            <v>-  6 PRS. - 1.75 MM. FR TELEPHONE CABLE</v>
          </cell>
          <cell r="E82">
            <v>0</v>
          </cell>
          <cell r="F82">
            <v>5</v>
          </cell>
          <cell r="G82" t="str">
            <v>M.</v>
          </cell>
        </row>
        <row r="83">
          <cell r="C83">
            <v>176</v>
          </cell>
          <cell r="D83" t="str">
            <v>-  10 PRS. - 1.75 MM. FR TELEPHONE CABLE</v>
          </cell>
          <cell r="E83">
            <v>0</v>
          </cell>
          <cell r="F83">
            <v>5</v>
          </cell>
          <cell r="G83" t="str">
            <v>M.</v>
          </cell>
        </row>
        <row r="84">
          <cell r="C84">
            <v>177</v>
          </cell>
          <cell r="D84" t="str">
            <v>-  15 PRS. - 1.75 MM. FR TELEPHONE CABLE</v>
          </cell>
          <cell r="E84">
            <v>0</v>
          </cell>
          <cell r="F84">
            <v>5</v>
          </cell>
          <cell r="G84" t="str">
            <v>M.</v>
          </cell>
        </row>
        <row r="85">
          <cell r="C85">
            <v>178</v>
          </cell>
          <cell r="D85" t="str">
            <v>-  20 PRS. - 1.75 MM. FR TELEPHONE CABLE</v>
          </cell>
          <cell r="E85">
            <v>0</v>
          </cell>
          <cell r="F85">
            <v>6</v>
          </cell>
          <cell r="G85" t="str">
            <v>M.</v>
          </cell>
        </row>
        <row r="86">
          <cell r="C86">
            <v>179</v>
          </cell>
          <cell r="D86" t="str">
            <v>-  25 PRS. - 1.75 MM. FR TELEPHONE CABLE</v>
          </cell>
          <cell r="E86">
            <v>0</v>
          </cell>
          <cell r="F86">
            <v>6</v>
          </cell>
          <cell r="G86" t="str">
            <v>M.</v>
          </cell>
        </row>
        <row r="87">
          <cell r="C87">
            <v>180</v>
          </cell>
          <cell r="D87" t="str">
            <v>-  35 PRS. - 1.75 MM. FR TELEPHONE CABLE</v>
          </cell>
          <cell r="E87">
            <v>0</v>
          </cell>
          <cell r="F87">
            <v>7</v>
          </cell>
          <cell r="G87" t="str">
            <v>M.</v>
          </cell>
        </row>
        <row r="88">
          <cell r="C88">
            <v>181</v>
          </cell>
          <cell r="D88" t="str">
            <v>-  50 PRS. - 1.75 MM. FR TELEPHONE CABLE</v>
          </cell>
          <cell r="E88">
            <v>0</v>
          </cell>
          <cell r="F88">
            <v>7</v>
          </cell>
          <cell r="G88" t="str">
            <v>M.</v>
          </cell>
        </row>
        <row r="89">
          <cell r="C89">
            <v>182</v>
          </cell>
          <cell r="D89" t="str">
            <v>-  100 PRS. - 1.75 MM. FR TELEPHONE CABLE</v>
          </cell>
          <cell r="E89">
            <v>0</v>
          </cell>
          <cell r="F89">
            <v>7</v>
          </cell>
          <cell r="G89" t="str">
            <v>M.</v>
          </cell>
        </row>
        <row r="90">
          <cell r="C90">
            <v>184</v>
          </cell>
          <cell r="D90" t="str">
            <v>SPACE</v>
          </cell>
          <cell r="E90">
            <v>1012</v>
          </cell>
          <cell r="F90">
            <v>85</v>
          </cell>
          <cell r="G90" t="str">
            <v>M.</v>
          </cell>
        </row>
        <row r="91">
          <cell r="C91">
            <v>2</v>
          </cell>
          <cell r="D91" t="str">
            <v>TC, MDF, PABX AND ACCESSORIES</v>
          </cell>
          <cell r="E91">
            <v>1233</v>
          </cell>
          <cell r="F91">
            <v>90</v>
          </cell>
          <cell r="G91" t="str">
            <v>M.</v>
          </cell>
        </row>
        <row r="92">
          <cell r="C92">
            <v>201</v>
          </cell>
          <cell r="D92" t="str">
            <v>-  TC 10 PRS.</v>
          </cell>
          <cell r="E92">
            <v>655</v>
          </cell>
          <cell r="F92">
            <v>50</v>
          </cell>
          <cell r="G92" t="str">
            <v>M.</v>
          </cell>
        </row>
        <row r="93">
          <cell r="C93">
            <v>202</v>
          </cell>
          <cell r="D93" t="str">
            <v>-  TC 20 PRS.</v>
          </cell>
          <cell r="E93">
            <v>985</v>
          </cell>
          <cell r="F93">
            <v>70</v>
          </cell>
          <cell r="G93" t="str">
            <v>M.</v>
          </cell>
        </row>
        <row r="94">
          <cell r="C94">
            <v>203</v>
          </cell>
          <cell r="D94" t="str">
            <v>-  TC 30 PRS.</v>
          </cell>
          <cell r="E94">
            <v>1300</v>
          </cell>
          <cell r="F94">
            <v>100</v>
          </cell>
          <cell r="G94" t="str">
            <v>M.</v>
          </cell>
        </row>
        <row r="95">
          <cell r="C95">
            <v>204</v>
          </cell>
          <cell r="D95" t="str">
            <v>-  TC 40 PRS.</v>
          </cell>
          <cell r="E95">
            <v>1750</v>
          </cell>
          <cell r="F95">
            <v>125</v>
          </cell>
          <cell r="G95" t="str">
            <v>SET</v>
          </cell>
        </row>
        <row r="96">
          <cell r="C96">
            <v>205</v>
          </cell>
          <cell r="D96" t="str">
            <v>-  TC 50 PRS.</v>
          </cell>
          <cell r="E96">
            <v>2100</v>
          </cell>
          <cell r="F96">
            <v>150</v>
          </cell>
          <cell r="G96" t="str">
            <v>SET</v>
          </cell>
        </row>
        <row r="97">
          <cell r="C97">
            <v>206</v>
          </cell>
          <cell r="D97" t="str">
            <v>-  TC 60 PRS.</v>
          </cell>
          <cell r="E97">
            <v>2400</v>
          </cell>
          <cell r="F97">
            <v>200</v>
          </cell>
          <cell r="G97" t="str">
            <v>M.</v>
          </cell>
        </row>
        <row r="98">
          <cell r="C98">
            <v>207</v>
          </cell>
          <cell r="D98" t="str">
            <v>-  TC 70 PRS.</v>
          </cell>
          <cell r="E98">
            <v>2700</v>
          </cell>
          <cell r="F98">
            <v>250</v>
          </cell>
          <cell r="G98" t="str">
            <v>M.</v>
          </cell>
        </row>
        <row r="99">
          <cell r="C99">
            <v>208</v>
          </cell>
          <cell r="D99" t="str">
            <v>-  TC 80 PRS.</v>
          </cell>
          <cell r="E99">
            <v>3200</v>
          </cell>
          <cell r="F99">
            <v>250</v>
          </cell>
          <cell r="G99" t="str">
            <v>M.</v>
          </cell>
        </row>
        <row r="100">
          <cell r="C100">
            <v>209</v>
          </cell>
          <cell r="D100" t="str">
            <v>-  TC 90 PRS.</v>
          </cell>
          <cell r="E100">
            <v>3500</v>
          </cell>
          <cell r="F100">
            <v>300</v>
          </cell>
          <cell r="G100" t="str">
            <v>M.</v>
          </cell>
        </row>
        <row r="101">
          <cell r="C101">
            <v>210</v>
          </cell>
          <cell r="D101" t="str">
            <v>-  TC 100 PRS.</v>
          </cell>
          <cell r="E101">
            <v>3800</v>
          </cell>
          <cell r="F101">
            <v>300</v>
          </cell>
          <cell r="G101" t="str">
            <v>M.</v>
          </cell>
        </row>
        <row r="102">
          <cell r="C102">
            <v>211</v>
          </cell>
          <cell r="D102" t="str">
            <v>-  MDF 50 PRS.</v>
          </cell>
          <cell r="E102">
            <v>2600</v>
          </cell>
          <cell r="F102">
            <v>500</v>
          </cell>
          <cell r="G102" t="str">
            <v>M.</v>
          </cell>
        </row>
        <row r="103">
          <cell r="C103">
            <v>212</v>
          </cell>
          <cell r="D103" t="str">
            <v>-  MDF 100 PRS.</v>
          </cell>
          <cell r="E103">
            <v>4700</v>
          </cell>
          <cell r="F103">
            <v>900</v>
          </cell>
          <cell r="G103" t="str">
            <v>M.</v>
          </cell>
        </row>
        <row r="104">
          <cell r="C104">
            <v>213</v>
          </cell>
          <cell r="D104" t="str">
            <v>-  MDF 200 PRS.</v>
          </cell>
          <cell r="E104">
            <v>8000</v>
          </cell>
          <cell r="F104">
            <v>1600</v>
          </cell>
          <cell r="G104" t="str">
            <v>M.</v>
          </cell>
        </row>
        <row r="105">
          <cell r="C105">
            <v>214</v>
          </cell>
          <cell r="D105" t="str">
            <v>-  MDF 300 PRS.</v>
          </cell>
          <cell r="E105">
            <v>12500</v>
          </cell>
          <cell r="F105">
            <v>2500</v>
          </cell>
          <cell r="G105" t="str">
            <v>M.</v>
          </cell>
        </row>
        <row r="106">
          <cell r="C106">
            <v>215</v>
          </cell>
          <cell r="D106" t="str">
            <v>-  MDF 400 PRS.</v>
          </cell>
          <cell r="E106">
            <v>16000</v>
          </cell>
          <cell r="F106">
            <v>3200</v>
          </cell>
          <cell r="G106" t="str">
            <v>M.</v>
          </cell>
        </row>
        <row r="107">
          <cell r="C107">
            <v>216</v>
          </cell>
          <cell r="D107" t="str">
            <v>-  MDF 500 PRS.</v>
          </cell>
          <cell r="E107">
            <v>20000</v>
          </cell>
          <cell r="F107">
            <v>4200</v>
          </cell>
          <cell r="G107" t="str">
            <v>M.</v>
          </cell>
        </row>
        <row r="108">
          <cell r="C108">
            <v>217</v>
          </cell>
          <cell r="D108" t="str">
            <v>-  MDF 600 PRS.</v>
          </cell>
          <cell r="E108">
            <v>25000</v>
          </cell>
          <cell r="F108">
            <v>5100</v>
          </cell>
          <cell r="G108" t="str">
            <v>M.</v>
          </cell>
        </row>
        <row r="109">
          <cell r="C109">
            <v>218</v>
          </cell>
          <cell r="D109" t="str">
            <v>-  MDF 700 PRS.</v>
          </cell>
          <cell r="E109">
            <v>28500</v>
          </cell>
          <cell r="F109">
            <v>5800</v>
          </cell>
          <cell r="G109" t="str">
            <v>M.</v>
          </cell>
        </row>
        <row r="110">
          <cell r="C110">
            <v>219</v>
          </cell>
          <cell r="D110" t="str">
            <v>-  MDF 800 PRS.</v>
          </cell>
          <cell r="E110">
            <v>32000</v>
          </cell>
          <cell r="F110">
            <v>6400</v>
          </cell>
          <cell r="G110" t="str">
            <v>M.</v>
          </cell>
        </row>
        <row r="111">
          <cell r="C111">
            <v>220</v>
          </cell>
          <cell r="D111" t="str">
            <v>-  MDF 900 PRS.</v>
          </cell>
          <cell r="E111">
            <v>36000</v>
          </cell>
          <cell r="F111">
            <v>7400</v>
          </cell>
          <cell r="G111" t="str">
            <v>M.</v>
          </cell>
        </row>
        <row r="112">
          <cell r="C112">
            <v>221</v>
          </cell>
          <cell r="D112" t="str">
            <v>-  MDF 1,000 PRS.</v>
          </cell>
          <cell r="E112">
            <v>40000</v>
          </cell>
          <cell r="F112">
            <v>8400</v>
          </cell>
          <cell r="G112" t="str">
            <v>M.</v>
          </cell>
        </row>
        <row r="113">
          <cell r="C113">
            <v>222</v>
          </cell>
          <cell r="D113" t="str">
            <v>-  MDF 1,200 PRS.</v>
          </cell>
          <cell r="E113">
            <v>50000</v>
          </cell>
          <cell r="F113">
            <v>10000</v>
          </cell>
          <cell r="G113" t="str">
            <v>M.</v>
          </cell>
        </row>
        <row r="114">
          <cell r="C114">
            <v>223</v>
          </cell>
          <cell r="D114" t="str">
            <v>-  MDF 1,500 PRS.</v>
          </cell>
          <cell r="E114">
            <v>60500</v>
          </cell>
          <cell r="F114">
            <v>12000</v>
          </cell>
          <cell r="G114" t="str">
            <v>M.</v>
          </cell>
        </row>
        <row r="115">
          <cell r="C115">
            <v>224</v>
          </cell>
          <cell r="D115" t="str">
            <v>-  MDF 2,000 PRS.</v>
          </cell>
          <cell r="E115">
            <v>80000</v>
          </cell>
          <cell r="F115">
            <v>16000</v>
          </cell>
          <cell r="G115" t="str">
            <v>M.</v>
          </cell>
        </row>
        <row r="116">
          <cell r="C116">
            <v>225</v>
          </cell>
          <cell r="D116" t="str">
            <v>-  MDF 2,500 PRS.</v>
          </cell>
          <cell r="E116">
            <v>100000</v>
          </cell>
          <cell r="F116">
            <v>20000</v>
          </cell>
          <cell r="G116" t="str">
            <v>M.</v>
          </cell>
        </row>
        <row r="117">
          <cell r="C117">
            <v>226</v>
          </cell>
          <cell r="D117" t="str">
            <v>-  MDF 3,000 PRS.</v>
          </cell>
          <cell r="E117">
            <v>120000</v>
          </cell>
          <cell r="F117">
            <v>24000</v>
          </cell>
          <cell r="G117" t="str">
            <v>M.</v>
          </cell>
        </row>
        <row r="118">
          <cell r="C118">
            <v>227</v>
          </cell>
          <cell r="D118" t="str">
            <v>-  MDF 3,500 PRS.</v>
          </cell>
          <cell r="E118">
            <v>140000</v>
          </cell>
          <cell r="F118">
            <v>28000</v>
          </cell>
          <cell r="G118" t="str">
            <v>M.</v>
          </cell>
        </row>
        <row r="119">
          <cell r="C119">
            <v>228</v>
          </cell>
          <cell r="D119" t="str">
            <v>-  MDF 4,000 PRS.</v>
          </cell>
          <cell r="E119">
            <v>160000</v>
          </cell>
          <cell r="F119">
            <v>32000</v>
          </cell>
          <cell r="G119" t="str">
            <v>M.</v>
          </cell>
        </row>
        <row r="120">
          <cell r="C120">
            <v>229</v>
          </cell>
          <cell r="D120" t="str">
            <v>-  MDF 4,500 PRS.</v>
          </cell>
          <cell r="E120">
            <v>180000</v>
          </cell>
          <cell r="F120">
            <v>36000</v>
          </cell>
          <cell r="G120" t="str">
            <v>M.</v>
          </cell>
        </row>
        <row r="121">
          <cell r="C121">
            <v>230</v>
          </cell>
          <cell r="D121" t="str">
            <v>-  MDF 5,000 PRS.</v>
          </cell>
          <cell r="E121">
            <v>200000</v>
          </cell>
          <cell r="F121">
            <v>40000</v>
          </cell>
          <cell r="G121" t="str">
            <v>M.</v>
          </cell>
        </row>
        <row r="122">
          <cell r="C122">
            <v>216</v>
          </cell>
          <cell r="D122" t="str">
            <v>PABX</v>
          </cell>
          <cell r="E122">
            <v>2221</v>
          </cell>
          <cell r="F122">
            <v>120</v>
          </cell>
          <cell r="G122" t="str">
            <v>M.</v>
          </cell>
        </row>
        <row r="123">
          <cell r="C123">
            <v>231</v>
          </cell>
          <cell r="D123" t="str">
            <v>-  10/40 LINE PABX</v>
          </cell>
          <cell r="E123">
            <v>450000</v>
          </cell>
          <cell r="F123">
            <v>0</v>
          </cell>
          <cell r="G123" t="str">
            <v>M.</v>
          </cell>
        </row>
        <row r="124">
          <cell r="C124">
            <v>232</v>
          </cell>
          <cell r="D124" t="str">
            <v>-  20/80 LINE PABX</v>
          </cell>
          <cell r="E124">
            <v>800000</v>
          </cell>
          <cell r="F124">
            <v>0</v>
          </cell>
          <cell r="G124" t="str">
            <v>M.</v>
          </cell>
        </row>
        <row r="125">
          <cell r="C125">
            <v>233</v>
          </cell>
          <cell r="D125" t="str">
            <v>-  30/120 LINE PABX</v>
          </cell>
          <cell r="E125">
            <v>950000</v>
          </cell>
          <cell r="F125">
            <v>0</v>
          </cell>
          <cell r="G125" t="str">
            <v>M.</v>
          </cell>
        </row>
        <row r="126">
          <cell r="C126">
            <v>234</v>
          </cell>
          <cell r="D126" t="str">
            <v>-  40/1600 LINE PABX</v>
          </cell>
          <cell r="E126">
            <v>1050000</v>
          </cell>
          <cell r="F126">
            <v>0</v>
          </cell>
          <cell r="G126" t="str">
            <v>M.</v>
          </cell>
        </row>
        <row r="127">
          <cell r="C127">
            <v>235</v>
          </cell>
          <cell r="D127" t="str">
            <v>-  50/200 LINE PABX</v>
          </cell>
          <cell r="E127">
            <v>1200000</v>
          </cell>
          <cell r="F127">
            <v>0</v>
          </cell>
          <cell r="G127" t="str">
            <v>M.</v>
          </cell>
        </row>
        <row r="128">
          <cell r="C128">
            <v>236</v>
          </cell>
          <cell r="D128" t="str">
            <v>-  60/240 LINE PABX</v>
          </cell>
          <cell r="E128">
            <v>1250000</v>
          </cell>
          <cell r="F128">
            <v>0</v>
          </cell>
          <cell r="G128" t="str">
            <v>M.</v>
          </cell>
        </row>
        <row r="129">
          <cell r="C129">
            <v>237</v>
          </cell>
          <cell r="D129" t="str">
            <v>-  70/280 LINE PABX</v>
          </cell>
          <cell r="E129">
            <v>1300000</v>
          </cell>
          <cell r="F129">
            <v>0</v>
          </cell>
          <cell r="G129" t="str">
            <v>M.</v>
          </cell>
        </row>
        <row r="130">
          <cell r="C130">
            <v>238</v>
          </cell>
          <cell r="D130" t="str">
            <v>-  80/320 LINE PABX</v>
          </cell>
          <cell r="E130">
            <v>1500000</v>
          </cell>
          <cell r="F130">
            <v>0</v>
          </cell>
          <cell r="G130" t="str">
            <v>M.</v>
          </cell>
        </row>
        <row r="131">
          <cell r="C131">
            <v>239</v>
          </cell>
          <cell r="D131" t="str">
            <v>-  90/360 LINE PABX</v>
          </cell>
          <cell r="E131">
            <v>1700000</v>
          </cell>
          <cell r="F131">
            <v>0</v>
          </cell>
          <cell r="G131" t="str">
            <v>M.</v>
          </cell>
        </row>
        <row r="132">
          <cell r="C132">
            <v>240</v>
          </cell>
          <cell r="D132" t="str">
            <v>-  100/400 LINE PABX</v>
          </cell>
          <cell r="E132">
            <v>1900000</v>
          </cell>
          <cell r="F132">
            <v>0</v>
          </cell>
          <cell r="G132" t="str">
            <v>M.</v>
          </cell>
        </row>
        <row r="133">
          <cell r="C133">
            <v>227</v>
          </cell>
          <cell r="D133" t="str">
            <v>SPACE</v>
          </cell>
          <cell r="E133">
            <v>1564</v>
          </cell>
          <cell r="F133">
            <v>120</v>
          </cell>
          <cell r="G133" t="str">
            <v>M.</v>
          </cell>
        </row>
        <row r="134">
          <cell r="C134">
            <v>246</v>
          </cell>
          <cell r="D134" t="str">
            <v>-  10/100 LINE PABX</v>
          </cell>
          <cell r="E134">
            <v>600000</v>
          </cell>
          <cell r="F134">
            <v>0</v>
          </cell>
          <cell r="G134" t="str">
            <v>M.</v>
          </cell>
        </row>
        <row r="135">
          <cell r="C135">
            <v>247</v>
          </cell>
          <cell r="D135" t="str">
            <v>-  20/200 LINE PABX</v>
          </cell>
          <cell r="E135">
            <v>1000000</v>
          </cell>
          <cell r="F135">
            <v>0</v>
          </cell>
          <cell r="G135" t="str">
            <v>M.</v>
          </cell>
        </row>
        <row r="136">
          <cell r="C136">
            <v>248</v>
          </cell>
          <cell r="D136" t="str">
            <v>-  30/300 LINE PABX</v>
          </cell>
          <cell r="E136">
            <v>1250000</v>
          </cell>
          <cell r="F136">
            <v>0</v>
          </cell>
          <cell r="G136" t="str">
            <v>M.</v>
          </cell>
        </row>
        <row r="137">
          <cell r="C137">
            <v>249</v>
          </cell>
          <cell r="D137" t="str">
            <v>-  40/400 LINE PABX</v>
          </cell>
          <cell r="E137">
            <v>1650000</v>
          </cell>
          <cell r="F137">
            <v>0</v>
          </cell>
          <cell r="G137" t="str">
            <v>M.</v>
          </cell>
        </row>
        <row r="138">
          <cell r="C138">
            <v>250</v>
          </cell>
          <cell r="D138" t="str">
            <v>-  50/500 LINE PABX</v>
          </cell>
          <cell r="E138">
            <v>1900000</v>
          </cell>
          <cell r="F138">
            <v>0</v>
          </cell>
          <cell r="G138" t="str">
            <v>M.</v>
          </cell>
        </row>
        <row r="139">
          <cell r="C139">
            <v>251</v>
          </cell>
          <cell r="D139" t="str">
            <v>-  60/600 LINE PABX</v>
          </cell>
          <cell r="E139">
            <v>2100000</v>
          </cell>
          <cell r="F139">
            <v>0</v>
          </cell>
          <cell r="G139" t="str">
            <v>M.</v>
          </cell>
        </row>
        <row r="140">
          <cell r="C140">
            <v>252</v>
          </cell>
          <cell r="D140" t="str">
            <v>-  70/700 LINE PABX</v>
          </cell>
          <cell r="E140">
            <v>2400000</v>
          </cell>
          <cell r="F140">
            <v>0</v>
          </cell>
          <cell r="G140" t="str">
            <v>M.</v>
          </cell>
        </row>
        <row r="141">
          <cell r="C141">
            <v>253</v>
          </cell>
          <cell r="D141" t="str">
            <v>-  80/800 LINE PABX</v>
          </cell>
          <cell r="E141">
            <v>0</v>
          </cell>
          <cell r="F141">
            <v>0</v>
          </cell>
          <cell r="G141" t="str">
            <v>M.</v>
          </cell>
        </row>
        <row r="142">
          <cell r="C142">
            <v>254</v>
          </cell>
          <cell r="D142" t="str">
            <v>-  90/900 LINE PABX</v>
          </cell>
          <cell r="E142">
            <v>0</v>
          </cell>
          <cell r="F142">
            <v>0</v>
          </cell>
          <cell r="G142" t="str">
            <v>M.</v>
          </cell>
        </row>
        <row r="143">
          <cell r="C143">
            <v>255</v>
          </cell>
          <cell r="D143" t="str">
            <v>-  100/1,000 LINE PABX</v>
          </cell>
          <cell r="E143">
            <v>0</v>
          </cell>
          <cell r="F143">
            <v>0</v>
          </cell>
          <cell r="G143" t="str">
            <v>M.</v>
          </cell>
        </row>
        <row r="144">
          <cell r="C144">
            <v>238</v>
          </cell>
          <cell r="D144" t="str">
            <v>SPACE</v>
          </cell>
          <cell r="E144">
            <v>77</v>
          </cell>
          <cell r="F144">
            <v>18</v>
          </cell>
          <cell r="G144" t="str">
            <v>M.</v>
          </cell>
        </row>
        <row r="145">
          <cell r="C145">
            <v>239</v>
          </cell>
          <cell r="D145" t="str">
            <v>ACCESSORIES</v>
          </cell>
          <cell r="E145">
            <v>103</v>
          </cell>
          <cell r="F145">
            <v>20</v>
          </cell>
          <cell r="G145" t="str">
            <v>M.</v>
          </cell>
        </row>
        <row r="146">
          <cell r="C146">
            <v>261</v>
          </cell>
          <cell r="D146" t="str">
            <v>-  LIGHTNING ARRESTER</v>
          </cell>
          <cell r="E146">
            <v>105</v>
          </cell>
          <cell r="F146">
            <v>20</v>
          </cell>
          <cell r="G146" t="str">
            <v>SET</v>
          </cell>
        </row>
        <row r="147">
          <cell r="C147">
            <v>262</v>
          </cell>
          <cell r="D147" t="str">
            <v>-  OPERATER CONSOLE</v>
          </cell>
          <cell r="E147">
            <v>28000</v>
          </cell>
          <cell r="F147">
            <v>0</v>
          </cell>
          <cell r="G147" t="str">
            <v>SET</v>
          </cell>
        </row>
        <row r="148">
          <cell r="C148">
            <v>263</v>
          </cell>
          <cell r="D148" t="str">
            <v>-  TELEPHONE OUTLET (PLASTIC PLATE)</v>
          </cell>
          <cell r="E148">
            <v>160</v>
          </cell>
          <cell r="F148">
            <v>50</v>
          </cell>
          <cell r="G148" t="str">
            <v>SET</v>
          </cell>
        </row>
        <row r="149">
          <cell r="C149">
            <v>264</v>
          </cell>
          <cell r="D149" t="str">
            <v>-  TELEPHONE OUTLET (ALUMINIUM PLATE)</v>
          </cell>
          <cell r="E149">
            <v>190</v>
          </cell>
          <cell r="F149">
            <v>50</v>
          </cell>
          <cell r="G149" t="str">
            <v>SET</v>
          </cell>
        </row>
        <row r="150">
          <cell r="C150">
            <v>265</v>
          </cell>
          <cell r="D150" t="str">
            <v>-  TELEPHONE OUTLET (STAINLESS PLATE)</v>
          </cell>
          <cell r="E150">
            <v>210</v>
          </cell>
          <cell r="F150">
            <v>50</v>
          </cell>
          <cell r="G150" t="str">
            <v>SET</v>
          </cell>
        </row>
        <row r="151">
          <cell r="C151">
            <v>266</v>
          </cell>
          <cell r="D151" t="str">
            <v>-  TELEPHONE OUTLET (ALUMINIUM PLATE, LIVING STYLE)</v>
          </cell>
          <cell r="E151">
            <v>600</v>
          </cell>
          <cell r="F151">
            <v>100</v>
          </cell>
          <cell r="G151" t="str">
            <v>SET</v>
          </cell>
        </row>
        <row r="152">
          <cell r="C152">
            <v>267</v>
          </cell>
          <cell r="D152" t="str">
            <v>-  TELEPHONE OUTLET (CHROMIUM PLATE PLATE, LIVING STYLE)</v>
          </cell>
          <cell r="E152">
            <v>870</v>
          </cell>
          <cell r="F152">
            <v>100</v>
          </cell>
          <cell r="G152" t="str">
            <v>SET</v>
          </cell>
        </row>
        <row r="153">
          <cell r="C153">
            <v>247</v>
          </cell>
          <cell r="D153" t="str">
            <v xml:space="preserve">   SPACE</v>
          </cell>
          <cell r="E153">
            <v>753</v>
          </cell>
          <cell r="F153">
            <v>80</v>
          </cell>
          <cell r="G153" t="str">
            <v>M.</v>
          </cell>
        </row>
        <row r="154">
          <cell r="C154">
            <v>3</v>
          </cell>
          <cell r="D154" t="str">
            <v>TELECOMMUNICATION</v>
          </cell>
          <cell r="E154">
            <v>30</v>
          </cell>
          <cell r="F154">
            <v>8</v>
          </cell>
          <cell r="G154" t="str">
            <v>M.</v>
          </cell>
        </row>
        <row r="155">
          <cell r="C155">
            <v>249</v>
          </cell>
          <cell r="D155" t="str">
            <v>MODULE &amp; ACCESSORIES</v>
          </cell>
          <cell r="E155">
            <v>36</v>
          </cell>
          <cell r="F155">
            <v>10</v>
          </cell>
          <cell r="G155" t="str">
            <v>M.</v>
          </cell>
        </row>
        <row r="156">
          <cell r="C156">
            <v>301</v>
          </cell>
          <cell r="D156" t="str">
            <v>-  24 PORTS-CAT5 PATCH PANEL</v>
          </cell>
          <cell r="E156">
            <v>5500</v>
          </cell>
          <cell r="F156">
            <v>300</v>
          </cell>
          <cell r="G156" t="str">
            <v>LOT</v>
          </cell>
        </row>
        <row r="157">
          <cell r="C157">
            <v>302</v>
          </cell>
          <cell r="D157" t="str">
            <v>-  32 PORTS-CAT5 PATCH PANEL</v>
          </cell>
          <cell r="E157">
            <v>8500</v>
          </cell>
          <cell r="F157">
            <v>450</v>
          </cell>
          <cell r="G157" t="str">
            <v>LOT</v>
          </cell>
        </row>
        <row r="158">
          <cell r="C158">
            <v>303</v>
          </cell>
          <cell r="D158" t="str">
            <v>-  48 PORTS-CAT5 PATCH PANEL</v>
          </cell>
          <cell r="E158">
            <v>11000</v>
          </cell>
          <cell r="F158">
            <v>600</v>
          </cell>
          <cell r="G158" t="str">
            <v>LOT</v>
          </cell>
        </row>
        <row r="159">
          <cell r="C159">
            <v>304</v>
          </cell>
          <cell r="D159" t="str">
            <v>-  64 PORTS-CAT5 PATCH PANEL</v>
          </cell>
          <cell r="E159">
            <v>16500</v>
          </cell>
          <cell r="F159">
            <v>900</v>
          </cell>
          <cell r="G159" t="str">
            <v>LOT</v>
          </cell>
        </row>
        <row r="160">
          <cell r="C160">
            <v>305</v>
          </cell>
          <cell r="D160" t="str">
            <v>-  96 PORTS-CAT5 PATCH PANEL</v>
          </cell>
          <cell r="E160">
            <v>21000</v>
          </cell>
          <cell r="F160">
            <v>1000</v>
          </cell>
          <cell r="G160" t="str">
            <v>LOT</v>
          </cell>
        </row>
        <row r="161">
          <cell r="C161">
            <v>255</v>
          </cell>
          <cell r="D161" t="str">
            <v>SPACE</v>
          </cell>
          <cell r="E161">
            <v>228</v>
          </cell>
          <cell r="F161">
            <v>35</v>
          </cell>
          <cell r="G161" t="str">
            <v>M.</v>
          </cell>
        </row>
        <row r="162">
          <cell r="C162">
            <v>311</v>
          </cell>
          <cell r="D162" t="str">
            <v>-  1xRJ45 MODULAR JACK</v>
          </cell>
          <cell r="E162">
            <v>280</v>
          </cell>
          <cell r="F162">
            <v>70</v>
          </cell>
          <cell r="G162" t="str">
            <v>SET</v>
          </cell>
        </row>
        <row r="163">
          <cell r="C163">
            <v>312</v>
          </cell>
          <cell r="D163" t="str">
            <v>-  2xRJ45 MODULAR JACK</v>
          </cell>
          <cell r="E163">
            <v>440</v>
          </cell>
          <cell r="F163">
            <v>100</v>
          </cell>
          <cell r="G163" t="str">
            <v>SET</v>
          </cell>
        </row>
        <row r="164">
          <cell r="C164">
            <v>313</v>
          </cell>
          <cell r="D164" t="str">
            <v>-  1xRJ45+1xRJ11 MODULAR JACK</v>
          </cell>
          <cell r="E164">
            <v>350</v>
          </cell>
          <cell r="F164">
            <v>100</v>
          </cell>
          <cell r="G164" t="str">
            <v>SET</v>
          </cell>
        </row>
        <row r="165">
          <cell r="C165">
            <v>314</v>
          </cell>
          <cell r="D165" t="str">
            <v>-  4xRJ45 MODULAR JACK</v>
          </cell>
          <cell r="E165">
            <v>760</v>
          </cell>
          <cell r="F165">
            <v>200</v>
          </cell>
          <cell r="G165" t="str">
            <v>SET</v>
          </cell>
        </row>
        <row r="166">
          <cell r="C166">
            <v>315</v>
          </cell>
          <cell r="D166" t="str">
            <v>-  3xRJ45+1xRJ11 MODULAR JACK</v>
          </cell>
          <cell r="E166">
            <v>670</v>
          </cell>
          <cell r="F166">
            <v>200</v>
          </cell>
          <cell r="G166" t="str">
            <v>SET</v>
          </cell>
        </row>
        <row r="167">
          <cell r="C167">
            <v>316</v>
          </cell>
          <cell r="D167" t="str">
            <v>-  2xRJ45+1xRJ11 MODULAR JACK</v>
          </cell>
          <cell r="E167">
            <v>580</v>
          </cell>
          <cell r="F167">
            <v>200</v>
          </cell>
          <cell r="G167" t="str">
            <v>SET</v>
          </cell>
        </row>
        <row r="168">
          <cell r="C168">
            <v>317</v>
          </cell>
          <cell r="D168" t="str">
            <v>-  6xRJ45 MODULAR JACK</v>
          </cell>
          <cell r="E168">
            <v>1140</v>
          </cell>
          <cell r="F168">
            <v>300</v>
          </cell>
          <cell r="G168" t="str">
            <v>SET</v>
          </cell>
        </row>
        <row r="169">
          <cell r="C169">
            <v>318</v>
          </cell>
          <cell r="D169" t="str">
            <v>-  5xRJ45+1xRJ11 MODULAR JACK</v>
          </cell>
          <cell r="E169">
            <v>1050</v>
          </cell>
          <cell r="F169">
            <v>300</v>
          </cell>
          <cell r="G169" t="str">
            <v>SET</v>
          </cell>
        </row>
        <row r="170">
          <cell r="C170">
            <v>319</v>
          </cell>
          <cell r="D170" t="str">
            <v>-  4xRJ45+2xRJ11 MODULAR JACK</v>
          </cell>
          <cell r="E170">
            <v>960</v>
          </cell>
          <cell r="F170">
            <v>300</v>
          </cell>
          <cell r="G170" t="str">
            <v>SET</v>
          </cell>
        </row>
        <row r="171">
          <cell r="C171">
            <v>320</v>
          </cell>
          <cell r="D171" t="str">
            <v>-  3xRJ45+3xRJ11 MODULAR JACK</v>
          </cell>
          <cell r="E171">
            <v>870</v>
          </cell>
          <cell r="F171">
            <v>300</v>
          </cell>
          <cell r="G171" t="str">
            <v>SET</v>
          </cell>
        </row>
        <row r="172">
          <cell r="C172">
            <v>321</v>
          </cell>
          <cell r="D172" t="str">
            <v>-  2xRJ45+4xRJ11 MODULAR JACK</v>
          </cell>
          <cell r="E172">
            <v>780</v>
          </cell>
          <cell r="F172">
            <v>300</v>
          </cell>
          <cell r="G172" t="str">
            <v>SET</v>
          </cell>
        </row>
        <row r="173">
          <cell r="C173">
            <v>267</v>
          </cell>
          <cell r="D173" t="str">
            <v>SPACE</v>
          </cell>
          <cell r="E173">
            <v>106</v>
          </cell>
          <cell r="F173">
            <v>40</v>
          </cell>
          <cell r="G173" t="str">
            <v>M.</v>
          </cell>
        </row>
        <row r="174">
          <cell r="C174">
            <v>268</v>
          </cell>
          <cell r="D174" t="str">
            <v>COMMUNICATION CABLE</v>
          </cell>
          <cell r="E174">
            <v>155</v>
          </cell>
          <cell r="F174">
            <v>60</v>
          </cell>
          <cell r="G174" t="str">
            <v>M.</v>
          </cell>
        </row>
        <row r="175">
          <cell r="C175">
            <v>326</v>
          </cell>
          <cell r="D175" t="str">
            <v>-  3 PRS-CAT3 UTP</v>
          </cell>
          <cell r="E175">
            <v>9</v>
          </cell>
          <cell r="F175">
            <v>2</v>
          </cell>
          <cell r="G175" t="str">
            <v>M.</v>
          </cell>
        </row>
        <row r="176">
          <cell r="C176">
            <v>327</v>
          </cell>
          <cell r="D176" t="str">
            <v>-  4 PRS-CAT3 UTP</v>
          </cell>
          <cell r="E176">
            <v>10</v>
          </cell>
          <cell r="F176">
            <v>2</v>
          </cell>
          <cell r="G176" t="str">
            <v>M.</v>
          </cell>
        </row>
        <row r="177">
          <cell r="C177">
            <v>328</v>
          </cell>
          <cell r="D177" t="str">
            <v>-  25 PRS-CAT3 UTP</v>
          </cell>
          <cell r="E177">
            <v>55</v>
          </cell>
          <cell r="F177">
            <v>5</v>
          </cell>
          <cell r="G177" t="str">
            <v>M.</v>
          </cell>
        </row>
        <row r="178">
          <cell r="C178">
            <v>329</v>
          </cell>
          <cell r="D178" t="str">
            <v>-  4 PRS-CAT5 UTP</v>
          </cell>
          <cell r="E178">
            <v>20</v>
          </cell>
          <cell r="F178">
            <v>2</v>
          </cell>
          <cell r="G178" t="str">
            <v>M.</v>
          </cell>
        </row>
        <row r="179">
          <cell r="C179">
            <v>330</v>
          </cell>
          <cell r="D179" t="str">
            <v>-  4 PRS-CAT4 STP</v>
          </cell>
          <cell r="E179">
            <v>25</v>
          </cell>
          <cell r="F179">
            <v>2</v>
          </cell>
          <cell r="G179" t="str">
            <v>M.</v>
          </cell>
        </row>
        <row r="180">
          <cell r="C180">
            <v>331</v>
          </cell>
          <cell r="D180" t="str">
            <v>-  15 PRS-CAT5 STP</v>
          </cell>
          <cell r="E180">
            <v>30</v>
          </cell>
          <cell r="F180">
            <v>4</v>
          </cell>
          <cell r="G180" t="str">
            <v>M.</v>
          </cell>
        </row>
        <row r="181">
          <cell r="C181">
            <v>332</v>
          </cell>
          <cell r="D181" t="str">
            <v>-  1/C - 62.5/125 FIBER OPTIC</v>
          </cell>
          <cell r="E181">
            <v>25</v>
          </cell>
          <cell r="F181">
            <v>3</v>
          </cell>
          <cell r="G181" t="str">
            <v>M.</v>
          </cell>
        </row>
        <row r="182">
          <cell r="C182">
            <v>333</v>
          </cell>
          <cell r="D182" t="str">
            <v>-  2/C - 62.5/125 FIBER OPTIC</v>
          </cell>
          <cell r="E182">
            <v>50</v>
          </cell>
          <cell r="F182">
            <v>4</v>
          </cell>
          <cell r="G182" t="str">
            <v>M.</v>
          </cell>
        </row>
        <row r="183">
          <cell r="C183">
            <v>334</v>
          </cell>
          <cell r="D183" t="str">
            <v>-  2/C - 62.5/125 FIBER OPTIC, TIGHT BUFFER</v>
          </cell>
          <cell r="E183">
            <v>61</v>
          </cell>
          <cell r="F183">
            <v>4</v>
          </cell>
          <cell r="G183" t="str">
            <v>M.</v>
          </cell>
        </row>
        <row r="184">
          <cell r="C184">
            <v>335</v>
          </cell>
          <cell r="D184" t="str">
            <v>-  4/C - 62.5/125 FIBER OPTIC, TIGHT BUFFER</v>
          </cell>
          <cell r="E184">
            <v>100</v>
          </cell>
          <cell r="F184">
            <v>6</v>
          </cell>
          <cell r="G184" t="str">
            <v>M.</v>
          </cell>
        </row>
        <row r="185">
          <cell r="C185">
            <v>336</v>
          </cell>
          <cell r="D185" t="str">
            <v>-  6/C - 62.5/125 FIBER OPTIC, TIGHT BUFFER</v>
          </cell>
          <cell r="E185">
            <v>140</v>
          </cell>
          <cell r="F185">
            <v>8</v>
          </cell>
          <cell r="G185" t="str">
            <v>M.</v>
          </cell>
        </row>
        <row r="186">
          <cell r="C186">
            <v>337</v>
          </cell>
          <cell r="D186" t="str">
            <v>-  8/C - 62.5/125 FIBER OPTIC, TIGHT BUFFER</v>
          </cell>
          <cell r="E186">
            <v>186</v>
          </cell>
          <cell r="F186">
            <v>10</v>
          </cell>
          <cell r="G186" t="str">
            <v>M.</v>
          </cell>
        </row>
        <row r="187">
          <cell r="C187">
            <v>338</v>
          </cell>
          <cell r="D187" t="str">
            <v>-  12/C - 62.5/125 FIBER OPTIC, TIGHT BUFFER</v>
          </cell>
          <cell r="E187">
            <v>259</v>
          </cell>
          <cell r="F187">
            <v>15</v>
          </cell>
          <cell r="G187" t="str">
            <v>M.</v>
          </cell>
        </row>
        <row r="188">
          <cell r="C188">
            <v>339</v>
          </cell>
          <cell r="D188" t="str">
            <v>-  18/C - 62.5/125 FIBER OPTIC, TIGHT BUFFER</v>
          </cell>
          <cell r="E188">
            <v>478</v>
          </cell>
          <cell r="F188">
            <v>20</v>
          </cell>
          <cell r="G188" t="str">
            <v>M.</v>
          </cell>
        </row>
        <row r="189">
          <cell r="C189">
            <v>340</v>
          </cell>
          <cell r="D189" t="str">
            <v>-  24/C - 62.5/125 FIBER OPTIC, TIGHT BUFFER</v>
          </cell>
          <cell r="E189">
            <v>637</v>
          </cell>
          <cell r="F189">
            <v>25</v>
          </cell>
          <cell r="G189" t="str">
            <v>M.</v>
          </cell>
        </row>
        <row r="190">
          <cell r="C190">
            <v>341</v>
          </cell>
          <cell r="D190" t="str">
            <v>-  36/C - 62.5/125 FIBER OPTIC, TIGHT BUFFER</v>
          </cell>
          <cell r="E190">
            <v>960</v>
          </cell>
          <cell r="F190">
            <v>30</v>
          </cell>
          <cell r="G190" t="str">
            <v>M.</v>
          </cell>
        </row>
        <row r="191">
          <cell r="C191">
            <v>342</v>
          </cell>
          <cell r="D191" t="str">
            <v>-  2/C - 62.5/125 FIBER OPTIC, LOOSE BUFFER, SINGLE JACKET</v>
          </cell>
          <cell r="E191">
            <v>100</v>
          </cell>
          <cell r="F191">
            <v>10</v>
          </cell>
          <cell r="G191" t="str">
            <v>M.</v>
          </cell>
        </row>
        <row r="192">
          <cell r="C192">
            <v>343</v>
          </cell>
          <cell r="D192" t="str">
            <v>-  4/C - 62.5/125 FIBER OPTIC, LOOSE BUFFER, SINGLE JACKET</v>
          </cell>
          <cell r="E192">
            <v>130</v>
          </cell>
          <cell r="F192">
            <v>13</v>
          </cell>
          <cell r="G192" t="str">
            <v>M.</v>
          </cell>
        </row>
        <row r="193">
          <cell r="C193">
            <v>344</v>
          </cell>
          <cell r="D193" t="str">
            <v>-  6/C - 62.5/125 FIBER OPTIC, LOOSE BUFFER, SINGLE JACKET</v>
          </cell>
          <cell r="E193">
            <v>165</v>
          </cell>
          <cell r="F193">
            <v>16</v>
          </cell>
          <cell r="G193" t="str">
            <v>M.</v>
          </cell>
        </row>
        <row r="194">
          <cell r="C194">
            <v>345</v>
          </cell>
          <cell r="D194" t="str">
            <v>-  8/C - 62.5/125 FIBER OPTIC, LOOSE BUFFER, SINGLE JACKET</v>
          </cell>
          <cell r="E194">
            <v>203</v>
          </cell>
          <cell r="F194">
            <v>20</v>
          </cell>
          <cell r="G194" t="str">
            <v>M.</v>
          </cell>
        </row>
        <row r="195">
          <cell r="C195">
            <v>346</v>
          </cell>
          <cell r="D195" t="str">
            <v>-  10/C - 62.5/125 FIBER OPTIC, LOOSE BUFFER, SINGLE JACKET</v>
          </cell>
          <cell r="E195">
            <v>250</v>
          </cell>
          <cell r="F195">
            <v>25</v>
          </cell>
          <cell r="G195" t="str">
            <v>M.</v>
          </cell>
        </row>
        <row r="196">
          <cell r="C196">
            <v>347</v>
          </cell>
          <cell r="D196" t="str">
            <v>-  12/C - 62.5/125 FIBER OPTIC, LOOSE BUFFER, SINGLE JACKET</v>
          </cell>
          <cell r="E196">
            <v>273</v>
          </cell>
          <cell r="F196">
            <v>27</v>
          </cell>
          <cell r="G196" t="str">
            <v>M.</v>
          </cell>
        </row>
        <row r="197">
          <cell r="C197">
            <v>348</v>
          </cell>
          <cell r="D197" t="str">
            <v>-  18/C - 62.5/125 FIBER OPTIC, LOOSE BUFFER, SINGLE JACKET</v>
          </cell>
          <cell r="E197">
            <v>390</v>
          </cell>
          <cell r="F197">
            <v>35</v>
          </cell>
          <cell r="G197" t="str">
            <v>M.</v>
          </cell>
        </row>
        <row r="198">
          <cell r="C198">
            <v>349</v>
          </cell>
          <cell r="D198" t="str">
            <v>-  24/C - 62.5/125 FIBER OPTIC, LOOSE BUFFER, SINGLE JACKET</v>
          </cell>
          <cell r="E198">
            <v>500</v>
          </cell>
          <cell r="F198">
            <v>40</v>
          </cell>
          <cell r="G198" t="str">
            <v>M.</v>
          </cell>
        </row>
        <row r="199">
          <cell r="C199">
            <v>350</v>
          </cell>
          <cell r="D199" t="str">
            <v>-  36/C - 62.5/125 FIBER OPTIC, LOOSE BUFFER, SINGLE JACKET</v>
          </cell>
          <cell r="E199">
            <v>760</v>
          </cell>
          <cell r="F199">
            <v>55</v>
          </cell>
          <cell r="G199" t="str">
            <v>M.</v>
          </cell>
        </row>
        <row r="200">
          <cell r="C200">
            <v>351</v>
          </cell>
          <cell r="D200" t="str">
            <v>-  48/C - 62.5/125 FIBER OPTIC, LOOSE BUFFER, SINGLE JACKET</v>
          </cell>
          <cell r="E200">
            <v>1005</v>
          </cell>
          <cell r="F200">
            <v>70</v>
          </cell>
          <cell r="G200" t="str">
            <v>M.</v>
          </cell>
        </row>
        <row r="201">
          <cell r="C201">
            <v>352</v>
          </cell>
          <cell r="D201" t="str">
            <v>-  60/C - 62.5/125 FIBER OPTIC, LOOSE BUFFER, SINGLE JACKET</v>
          </cell>
          <cell r="E201">
            <v>1256</v>
          </cell>
          <cell r="F201">
            <v>80</v>
          </cell>
          <cell r="G201" t="str">
            <v>M.</v>
          </cell>
        </row>
        <row r="202">
          <cell r="C202">
            <v>353</v>
          </cell>
          <cell r="D202" t="str">
            <v>-  72/C - 62.5/125 FIBER OPTIC, LOOSE BUFFER, SINGLE JACKET</v>
          </cell>
          <cell r="E202">
            <v>1503</v>
          </cell>
          <cell r="F202">
            <v>90</v>
          </cell>
          <cell r="G202" t="str">
            <v>M.</v>
          </cell>
        </row>
        <row r="203">
          <cell r="C203">
            <v>354</v>
          </cell>
          <cell r="D203" t="str">
            <v>-  2/C - 62.5/125 FIBER OPTIC, LOOSE BUFFER, DOUBLE JACKET</v>
          </cell>
          <cell r="E203">
            <v>105</v>
          </cell>
          <cell r="F203">
            <v>12</v>
          </cell>
          <cell r="G203" t="str">
            <v>M.</v>
          </cell>
        </row>
        <row r="204">
          <cell r="C204">
            <v>355</v>
          </cell>
          <cell r="D204" t="str">
            <v>-  4/C - 62.5/125 FIBER OPTIC, LOOSE BUFFER, DOUBLE JACKET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-  6/C - 62.5/125 FIBER OPTIC, LOOSE BUFFER, DOUBLE JACKET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357</v>
          </cell>
          <cell r="D206" t="str">
            <v>-  8/C - 62.5/125 FIBER OPTIC, LOOSE BUFFER, DOUBLE JACKET</v>
          </cell>
          <cell r="E206">
            <v>230</v>
          </cell>
          <cell r="F206">
            <v>22</v>
          </cell>
          <cell r="G206" t="str">
            <v>M.</v>
          </cell>
        </row>
        <row r="207">
          <cell r="C207">
            <v>358</v>
          </cell>
          <cell r="D207" t="str">
            <v>-  10/C - 62.5/125 FIBER OPTIC, LOOSE BUFFER, DOUBLE JACKET</v>
          </cell>
          <cell r="E207">
            <v>261</v>
          </cell>
          <cell r="F207">
            <v>27</v>
          </cell>
          <cell r="G207" t="str">
            <v>M.</v>
          </cell>
        </row>
        <row r="208">
          <cell r="C208">
            <v>359</v>
          </cell>
          <cell r="D208" t="str">
            <v>-  12/C - 62.5/125 FIBER OPTIC, LOOSE BUFFER, DOUBLE JACKET</v>
          </cell>
          <cell r="E208">
            <v>290</v>
          </cell>
          <cell r="F208">
            <v>30</v>
          </cell>
          <cell r="G208" t="str">
            <v>M.</v>
          </cell>
        </row>
        <row r="209">
          <cell r="C209">
            <v>360</v>
          </cell>
          <cell r="D209" t="str">
            <v>-  18/C - 62.5/125 FIBER OPTIC, LOOSE BUFFER, DOUBLE JACKET</v>
          </cell>
          <cell r="E209">
            <v>402</v>
          </cell>
          <cell r="F209">
            <v>38</v>
          </cell>
          <cell r="G209" t="str">
            <v>M.</v>
          </cell>
        </row>
        <row r="210">
          <cell r="C210">
            <v>361</v>
          </cell>
          <cell r="D210" t="str">
            <v>-  24/C - 62.5/125 FIBER OPTIC, LOOSE BUFFER, DOUBLE JACKET</v>
          </cell>
          <cell r="E210">
            <v>511</v>
          </cell>
          <cell r="F210">
            <v>43</v>
          </cell>
          <cell r="G210" t="str">
            <v>M.</v>
          </cell>
        </row>
        <row r="211">
          <cell r="C211">
            <v>362</v>
          </cell>
          <cell r="D211" t="str">
            <v>-  36/C - 62.5/125 FIBER OPTIC, LOOSE BUFFER, DOUBLE JACKET</v>
          </cell>
          <cell r="E211">
            <v>771</v>
          </cell>
          <cell r="F211">
            <v>58</v>
          </cell>
          <cell r="G211" t="str">
            <v>M.</v>
          </cell>
        </row>
        <row r="212">
          <cell r="C212">
            <v>363</v>
          </cell>
          <cell r="D212" t="str">
            <v>-  48/C - 62.5/125 FIBER OPTIC, LOOSE BUFFER, DOUBLE JACKET</v>
          </cell>
          <cell r="E212">
            <v>1032</v>
          </cell>
          <cell r="F212">
            <v>75</v>
          </cell>
          <cell r="G212" t="str">
            <v>M.</v>
          </cell>
        </row>
        <row r="213">
          <cell r="C213">
            <v>364</v>
          </cell>
          <cell r="D213" t="str">
            <v>-  60/C - 62.5/125 FIBER OPTIC, LOOSE BUFFER, DOUBLE JACKET</v>
          </cell>
          <cell r="E213">
            <v>1312</v>
          </cell>
          <cell r="F213">
            <v>85</v>
          </cell>
          <cell r="G213" t="str">
            <v>M.</v>
          </cell>
        </row>
        <row r="214">
          <cell r="C214">
            <v>365</v>
          </cell>
          <cell r="D214" t="str">
            <v>-  72/C - 62.5/125 FIBER OPTIC, LOOSE BUFFER, DOUBLE JACKET</v>
          </cell>
          <cell r="E214">
            <v>1526</v>
          </cell>
          <cell r="F214">
            <v>95</v>
          </cell>
          <cell r="G214" t="str">
            <v>M.</v>
          </cell>
        </row>
        <row r="215">
          <cell r="C215">
            <v>366</v>
          </cell>
          <cell r="D215" t="str">
            <v>-  2/C - 62.5/125 FIBER OPTIC, LOOSE BUFFER, ARMORED</v>
          </cell>
          <cell r="E215">
            <v>154</v>
          </cell>
          <cell r="F215">
            <v>15</v>
          </cell>
          <cell r="G215" t="str">
            <v>M.</v>
          </cell>
        </row>
        <row r="216">
          <cell r="C216">
            <v>367</v>
          </cell>
          <cell r="D216" t="str">
            <v>-  4/C - 62.5/125 FIBER OPTIC, LOOSE BUFFER, ARMORED</v>
          </cell>
          <cell r="E216">
            <v>187</v>
          </cell>
          <cell r="F216">
            <v>18</v>
          </cell>
          <cell r="G216" t="str">
            <v>M.</v>
          </cell>
        </row>
        <row r="217">
          <cell r="C217">
            <v>368</v>
          </cell>
          <cell r="D217" t="str">
            <v>-  6/C - 62.5/125 FIBER OPTIC, LOOSE BUFFER, ARMORED</v>
          </cell>
          <cell r="E217">
            <v>218</v>
          </cell>
          <cell r="F217">
            <v>21</v>
          </cell>
          <cell r="G217" t="str">
            <v>M.</v>
          </cell>
        </row>
        <row r="218">
          <cell r="C218">
            <v>369</v>
          </cell>
          <cell r="D218" t="str">
            <v>-  8/C - 62.5/125 FIBER OPTIC, LOOSE BUFFER, ARMORED</v>
          </cell>
          <cell r="E218">
            <v>330</v>
          </cell>
          <cell r="F218">
            <v>25</v>
          </cell>
          <cell r="G218" t="str">
            <v>M.</v>
          </cell>
        </row>
        <row r="219">
          <cell r="C219">
            <v>370</v>
          </cell>
          <cell r="D219" t="str">
            <v>-  10/C - 62.5/125 FIBER OPTIC, LOOSE BUFFER, ARMORED</v>
          </cell>
          <cell r="E219">
            <v>414</v>
          </cell>
          <cell r="F219">
            <v>30</v>
          </cell>
          <cell r="G219" t="str">
            <v>M.</v>
          </cell>
        </row>
        <row r="220">
          <cell r="C220">
            <v>371</v>
          </cell>
          <cell r="D220" t="str">
            <v>-  12/C - 62.5/125 FIBER OPTIC, LOOSE BUFFER, ARMORED</v>
          </cell>
          <cell r="E220">
            <v>457</v>
          </cell>
          <cell r="F220">
            <v>33</v>
          </cell>
          <cell r="G220" t="str">
            <v>M.</v>
          </cell>
        </row>
        <row r="221">
          <cell r="C221">
            <v>372</v>
          </cell>
          <cell r="D221" t="str">
            <v>-  18/C - 62.5/125 FIBER OPTIC, LOOSE BUFFER, ARMORED</v>
          </cell>
          <cell r="E221">
            <v>600</v>
          </cell>
          <cell r="F221">
            <v>41</v>
          </cell>
          <cell r="G221" t="str">
            <v>M.</v>
          </cell>
        </row>
        <row r="222">
          <cell r="C222">
            <v>373</v>
          </cell>
          <cell r="D222" t="str">
            <v>-  24/C - 62.5/125 FIBER OPTIC, LOOSE BUFFER, ARMORED</v>
          </cell>
          <cell r="E222">
            <v>716</v>
          </cell>
          <cell r="F222">
            <v>46</v>
          </cell>
          <cell r="G222" t="str">
            <v>M.</v>
          </cell>
        </row>
        <row r="223">
          <cell r="C223">
            <v>374</v>
          </cell>
          <cell r="D223" t="str">
            <v>-  36/C - 62.5/125 FIBER OPTIC, LOOSE BUFFER, ARMORED</v>
          </cell>
          <cell r="E223">
            <v>991</v>
          </cell>
          <cell r="F223">
            <v>51</v>
          </cell>
          <cell r="G223" t="str">
            <v>M.</v>
          </cell>
        </row>
        <row r="224">
          <cell r="C224">
            <v>375</v>
          </cell>
          <cell r="D224" t="str">
            <v>-  48/C - 62.5/125 FIBER OPTIC, LOOSE BUFFER, ARMORED</v>
          </cell>
          <cell r="E224">
            <v>1210</v>
          </cell>
          <cell r="F224">
            <v>80</v>
          </cell>
          <cell r="G224" t="str">
            <v>M.</v>
          </cell>
        </row>
        <row r="225">
          <cell r="C225">
            <v>376</v>
          </cell>
          <cell r="D225" t="str">
            <v>-  60/C - 62.5/125 FIBER OPTIC, LOOSE BUFFER, ARMORED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>
            <v>0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6" refreshError="1"/>
      <sheetData sheetId="7">
        <row r="3">
          <cell r="C3" t="str">
            <v>N0.</v>
          </cell>
        </row>
      </sheetData>
      <sheetData sheetId="8" refreshError="1"/>
      <sheetData sheetId="9" refreshError="1"/>
      <sheetData sheetId="10">
        <row r="3">
          <cell r="C3" t="str">
            <v>N0.</v>
          </cell>
        </row>
      </sheetData>
      <sheetData sheetId="11">
        <row r="3">
          <cell r="C3" t="str">
            <v>N0.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#REF"/>
      <sheetName val="전기"/>
      <sheetName val="wordsdata"/>
      <sheetName val="ACMV"/>
      <sheetName val="Petrol Store &amp; Dispen Annex A11"/>
      <sheetName val="Cable Schedule Al_Cu"/>
      <sheetName val="Consolidated"/>
      <sheetName val="Diesel Fill_Dispense Annex A10"/>
      <sheetName val="Lift Station"/>
      <sheetName val="RFA VO"/>
      <sheetName val="Checklist"/>
      <sheetName val="Store"/>
      <sheetName val="SH-F"/>
      <sheetName val="Cctmst"/>
      <sheetName val="banilad"/>
      <sheetName val="Mactan"/>
      <sheetName val="Mandaue"/>
      <sheetName val="Cost Plan"/>
      <sheetName val="ประมาณการประตูหน้าต่าง "/>
      <sheetName val="เตรียมการและบริหารโครงการ"/>
      <sheetName val="CommonItems"/>
      <sheetName val="Auto Monthly Inputs "/>
      <sheetName val="Lease Value Calculation"/>
      <sheetName val="코드관리"/>
      <sheetName val="SH-A"/>
      <sheetName val="FAB별"/>
      <sheetName val="CABLE"/>
      <sheetName val="schedule "/>
      <sheetName val="แบบเดิ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K203"/>
  <sheetViews>
    <sheetView showGridLines="0" zoomScale="70" zoomScaleNormal="7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N12" sqref="N12:N26"/>
    </sheetView>
  </sheetViews>
  <sheetFormatPr defaultColWidth="9.140625" defaultRowHeight="21" x14ac:dyDescent="0.55000000000000004"/>
  <cols>
    <col min="1" max="1" width="20.28515625" style="122" customWidth="1"/>
    <col min="2" max="2" width="12.85546875" style="122" bestFit="1" customWidth="1"/>
    <col min="3" max="3" width="10.7109375" style="122" customWidth="1"/>
    <col min="4" max="4" width="46.85546875" style="122" customWidth="1"/>
    <col min="5" max="8" width="18.7109375" style="123" customWidth="1"/>
    <col min="9" max="9" width="49.28515625" style="125" bestFit="1" customWidth="1"/>
    <col min="10" max="10" width="29.28515625" style="8" bestFit="1" customWidth="1"/>
    <col min="11" max="11" width="18.7109375" style="9" bestFit="1" customWidth="1"/>
    <col min="12" max="12" width="19.85546875" style="8" bestFit="1" customWidth="1"/>
    <col min="13" max="13" width="19.5703125" style="8" bestFit="1" customWidth="1"/>
    <col min="14" max="14" width="17.85546875" style="8" bestFit="1" customWidth="1"/>
    <col min="15" max="15" width="14" style="8" bestFit="1" customWidth="1"/>
    <col min="16" max="16" width="13.85546875" style="10" bestFit="1" customWidth="1"/>
    <col min="17" max="23" width="15.42578125" style="8" customWidth="1"/>
    <col min="24" max="24" width="17.5703125" style="8" customWidth="1"/>
    <col min="25" max="25" width="19.5703125" style="8" bestFit="1" customWidth="1"/>
    <col min="26" max="26" width="28.7109375" style="8" customWidth="1"/>
    <col min="27" max="27" width="24" style="11" customWidth="1"/>
    <col min="28" max="28" width="7.7109375" style="11" customWidth="1"/>
    <col min="29" max="30" width="24.28515625" style="8" customWidth="1"/>
    <col min="31" max="31" width="14.42578125" style="12" customWidth="1"/>
    <col min="32" max="32" width="12.28515625" style="8" bestFit="1" customWidth="1"/>
    <col min="33" max="34" width="24.28515625" style="8" customWidth="1"/>
    <col min="35" max="35" width="11.42578125" style="8" customWidth="1"/>
    <col min="36" max="36" width="28" style="8" customWidth="1"/>
    <col min="37" max="37" width="20" style="8" customWidth="1"/>
    <col min="38" max="16384" width="9.140625" style="8"/>
  </cols>
  <sheetData>
    <row r="1" spans="1:37" s="2" customFormat="1" ht="26.25" thickBot="1" x14ac:dyDescent="0.7">
      <c r="A1" s="128" t="s">
        <v>76</v>
      </c>
      <c r="B1" s="1"/>
      <c r="C1" s="1"/>
      <c r="D1" s="1"/>
      <c r="E1" s="179"/>
      <c r="F1" s="179"/>
      <c r="G1" s="179"/>
      <c r="H1" s="179"/>
      <c r="I1" s="180"/>
      <c r="K1" s="3"/>
      <c r="P1" s="4"/>
      <c r="AA1" s="5"/>
      <c r="AB1" s="5"/>
      <c r="AE1" s="6"/>
    </row>
    <row r="2" spans="1:37" ht="63.75" thickBot="1" x14ac:dyDescent="0.6">
      <c r="A2" s="181" t="s">
        <v>0</v>
      </c>
      <c r="B2" s="184" t="s">
        <v>1</v>
      </c>
      <c r="C2" s="184" t="s">
        <v>2</v>
      </c>
      <c r="D2" s="184" t="s">
        <v>3</v>
      </c>
      <c r="E2" s="187" t="s">
        <v>4</v>
      </c>
      <c r="F2" s="188"/>
      <c r="G2" s="189"/>
      <c r="H2" s="7" t="s">
        <v>5</v>
      </c>
      <c r="I2" s="190" t="s">
        <v>6</v>
      </c>
    </row>
    <row r="3" spans="1:37" ht="24.75" customHeight="1" thickBot="1" x14ac:dyDescent="0.6">
      <c r="A3" s="182"/>
      <c r="B3" s="185"/>
      <c r="C3" s="185"/>
      <c r="D3" s="185"/>
      <c r="E3" s="13" t="s">
        <v>7</v>
      </c>
      <c r="F3" s="13" t="s">
        <v>8</v>
      </c>
      <c r="G3" s="14" t="s">
        <v>9</v>
      </c>
      <c r="H3" s="193" t="s">
        <v>10</v>
      </c>
      <c r="I3" s="191"/>
      <c r="L3"/>
      <c r="M3"/>
      <c r="N3"/>
      <c r="O3"/>
      <c r="P3" s="15"/>
      <c r="Q3" s="16"/>
      <c r="R3" s="16"/>
      <c r="S3" s="16"/>
      <c r="T3" s="16"/>
      <c r="U3" s="16"/>
      <c r="V3" s="17"/>
      <c r="W3" s="17"/>
      <c r="X3" s="173" t="s">
        <v>57</v>
      </c>
      <c r="Y3" s="174"/>
      <c r="Z3" s="17"/>
      <c r="AA3" s="18"/>
      <c r="AB3" s="18"/>
      <c r="AC3" s="17"/>
      <c r="AD3" s="17"/>
      <c r="AE3" s="19"/>
      <c r="AJ3" s="17"/>
    </row>
    <row r="4" spans="1:37" ht="24.75" customHeight="1" thickBot="1" x14ac:dyDescent="0.6">
      <c r="A4" s="183"/>
      <c r="B4" s="186"/>
      <c r="C4" s="186"/>
      <c r="D4" s="186"/>
      <c r="E4" s="20" t="s">
        <v>11</v>
      </c>
      <c r="F4" s="20" t="s">
        <v>12</v>
      </c>
      <c r="G4" s="21" t="s">
        <v>13</v>
      </c>
      <c r="H4" s="194"/>
      <c r="I4" s="192"/>
      <c r="L4"/>
      <c r="M4"/>
      <c r="N4"/>
      <c r="O4"/>
      <c r="P4" s="15"/>
      <c r="Q4" s="16"/>
      <c r="R4" s="16"/>
      <c r="S4" s="16"/>
      <c r="T4" s="16"/>
      <c r="U4" s="16"/>
      <c r="V4" s="17"/>
      <c r="W4" s="17"/>
      <c r="X4" s="22" t="s">
        <v>14</v>
      </c>
      <c r="Y4" s="23" t="s">
        <v>15</v>
      </c>
      <c r="Z4" s="17"/>
      <c r="AA4" s="18"/>
      <c r="AB4" s="18"/>
      <c r="AC4" s="175" t="s">
        <v>16</v>
      </c>
      <c r="AD4" s="176"/>
      <c r="AE4" s="19"/>
      <c r="AG4" s="177" t="s">
        <v>17</v>
      </c>
      <c r="AH4" s="178"/>
      <c r="AJ4" s="17"/>
    </row>
    <row r="5" spans="1:37" ht="84.75" thickBot="1" x14ac:dyDescent="0.6">
      <c r="A5" s="24"/>
      <c r="B5" s="25"/>
      <c r="C5" s="25"/>
      <c r="D5" s="26"/>
      <c r="E5" s="27" t="s">
        <v>18</v>
      </c>
      <c r="F5" s="27" t="s">
        <v>18</v>
      </c>
      <c r="G5" s="28" t="s">
        <v>18</v>
      </c>
      <c r="H5" s="29" t="s">
        <v>19</v>
      </c>
      <c r="I5" s="30"/>
      <c r="K5" s="31" t="s">
        <v>20</v>
      </c>
      <c r="L5" s="32" t="s">
        <v>21</v>
      </c>
      <c r="M5" s="33" t="s">
        <v>22</v>
      </c>
      <c r="N5" s="34"/>
      <c r="O5" s="34"/>
      <c r="Q5" s="35" t="s">
        <v>23</v>
      </c>
      <c r="R5" s="35" t="s">
        <v>24</v>
      </c>
      <c r="S5" s="35" t="s">
        <v>25</v>
      </c>
      <c r="T5" s="35" t="s">
        <v>26</v>
      </c>
      <c r="U5" s="35" t="s">
        <v>27</v>
      </c>
      <c r="V5" s="35" t="s">
        <v>28</v>
      </c>
      <c r="W5" s="35" t="s">
        <v>29</v>
      </c>
      <c r="X5" s="36" t="s">
        <v>30</v>
      </c>
      <c r="Y5" s="36" t="s">
        <v>31</v>
      </c>
      <c r="Z5" s="37" t="s">
        <v>32</v>
      </c>
      <c r="AA5" s="38" t="s">
        <v>33</v>
      </c>
      <c r="AB5" s="39"/>
      <c r="AC5" s="40" t="s">
        <v>34</v>
      </c>
      <c r="AD5" s="40" t="s">
        <v>35</v>
      </c>
      <c r="AE5" s="41" t="s">
        <v>36</v>
      </c>
      <c r="AF5" s="42"/>
      <c r="AG5" s="43" t="str">
        <f>+AC5</f>
        <v>รวม Budget ที่ต้องเพิ่ม CO-01</v>
      </c>
      <c r="AH5" s="43" t="str">
        <f>+AD5</f>
        <v>รวม Budget ที่ใช้งบ CO-C1</v>
      </c>
      <c r="AJ5" s="44" t="s">
        <v>37</v>
      </c>
    </row>
    <row r="6" spans="1:37" ht="23.25" x14ac:dyDescent="0.55000000000000004">
      <c r="A6" s="45"/>
      <c r="B6" s="46"/>
      <c r="C6" s="46"/>
      <c r="D6" s="47"/>
      <c r="E6" s="48"/>
      <c r="F6" s="48"/>
      <c r="G6" s="49"/>
      <c r="H6" s="50"/>
      <c r="I6" s="51"/>
      <c r="K6" s="31"/>
      <c r="L6" s="52" t="s">
        <v>38</v>
      </c>
      <c r="M6" s="52"/>
      <c r="N6" s="52" t="s">
        <v>39</v>
      </c>
      <c r="O6" s="53"/>
      <c r="P6" s="53"/>
      <c r="Q6" s="52" t="s">
        <v>40</v>
      </c>
      <c r="R6" s="52" t="s">
        <v>41</v>
      </c>
      <c r="S6" s="52" t="s">
        <v>42</v>
      </c>
      <c r="T6" s="52" t="s">
        <v>43</v>
      </c>
      <c r="U6" s="52" t="s">
        <v>44</v>
      </c>
      <c r="V6" s="54" t="s">
        <v>45</v>
      </c>
      <c r="W6" s="54" t="s">
        <v>46</v>
      </c>
      <c r="X6" s="55" t="s">
        <v>47</v>
      </c>
      <c r="Y6" s="55" t="s">
        <v>48</v>
      </c>
      <c r="Z6" s="54" t="s">
        <v>49</v>
      </c>
      <c r="AA6" s="56" t="s">
        <v>50</v>
      </c>
      <c r="AB6" s="57"/>
      <c r="AC6" s="58"/>
      <c r="AD6" s="59"/>
      <c r="AE6" s="60"/>
      <c r="AG6" s="61">
        <f>+AC6</f>
        <v>0</v>
      </c>
      <c r="AH6" s="61">
        <f>IF(AE6&gt;1,IF(AA6&gt;0,AA6,0),0)</f>
        <v>0</v>
      </c>
      <c r="AJ6" s="59"/>
    </row>
    <row r="7" spans="1:37" ht="26.25" x14ac:dyDescent="0.55000000000000004">
      <c r="A7" s="62"/>
      <c r="B7" s="63"/>
      <c r="C7" s="63"/>
      <c r="D7" s="64"/>
      <c r="E7" s="48"/>
      <c r="F7" s="48"/>
      <c r="G7" s="65"/>
      <c r="H7" s="66"/>
      <c r="I7" s="67"/>
      <c r="J7" s="68"/>
      <c r="K7" s="31"/>
      <c r="L7" s="69"/>
      <c r="M7" s="69"/>
      <c r="N7" s="70"/>
      <c r="O7" s="71"/>
      <c r="Q7" s="69"/>
      <c r="R7" s="69"/>
      <c r="S7" s="69"/>
      <c r="T7" s="69"/>
      <c r="U7" s="69"/>
      <c r="V7" s="69"/>
      <c r="W7" s="69"/>
      <c r="X7" s="69"/>
      <c r="Y7" s="69"/>
      <c r="Z7" s="69"/>
      <c r="AA7" s="72"/>
      <c r="AB7" s="73"/>
      <c r="AC7" s="74"/>
      <c r="AD7" s="75"/>
      <c r="AE7" s="76"/>
      <c r="AG7" s="61">
        <f t="shared" ref="AG7:AG39" si="0">+AC7</f>
        <v>0</v>
      </c>
      <c r="AH7" s="61">
        <f t="shared" ref="AH7:AH39" si="1">IF(AE7&gt;1,IF(AA7&gt;0,AA7,0),0)</f>
        <v>0</v>
      </c>
      <c r="AJ7" s="75"/>
      <c r="AK7" s="77"/>
    </row>
    <row r="8" spans="1:37" ht="24" x14ac:dyDescent="0.55000000000000004">
      <c r="A8" s="62" t="str">
        <f>"4/022-CO-01-"&amp;B8</f>
        <v>4/022-CO-01-A01-R-001</v>
      </c>
      <c r="B8" s="63" t="s">
        <v>68</v>
      </c>
      <c r="C8" s="63">
        <v>2</v>
      </c>
      <c r="D8" s="64" t="s">
        <v>51</v>
      </c>
      <c r="E8" s="48" t="s">
        <v>52</v>
      </c>
      <c r="F8" s="48" t="s">
        <v>52</v>
      </c>
      <c r="G8" s="78" t="s">
        <v>53</v>
      </c>
      <c r="H8" s="48" t="s">
        <v>54</v>
      </c>
      <c r="I8" s="67" t="s">
        <v>55</v>
      </c>
      <c r="J8" s="68" t="str">
        <f t="shared" ref="J8:J39" si="2">+C8&amp;D8</f>
        <v>2PN2020_TW2F_11.4B_35.35</v>
      </c>
      <c r="K8" s="31">
        <v>2412509.48</v>
      </c>
      <c r="L8" s="79">
        <v>2455847</v>
      </c>
      <c r="M8" s="80">
        <v>2412509.48</v>
      </c>
      <c r="N8" s="81">
        <f>+L8-M8</f>
        <v>43337.520000000019</v>
      </c>
      <c r="O8" s="82">
        <f>+L8-K8</f>
        <v>43337.520000000019</v>
      </c>
      <c r="P8" s="82"/>
      <c r="Q8" s="83"/>
      <c r="R8" s="69"/>
      <c r="S8" s="69">
        <v>7500</v>
      </c>
      <c r="T8" s="69"/>
      <c r="U8" s="69"/>
      <c r="V8" s="69">
        <v>0</v>
      </c>
      <c r="W8" s="84">
        <f>ROUND(L8*1.5%,-3)-1165</f>
        <v>35835</v>
      </c>
      <c r="X8" s="85">
        <v>1180949.4899999995</v>
      </c>
      <c r="Y8" s="80">
        <v>1231560</v>
      </c>
      <c r="Z8" s="69">
        <f>ROUND(SUM(Q8:Y8),0)</f>
        <v>2455844</v>
      </c>
      <c r="AA8" s="72">
        <f>+Z8-L8</f>
        <v>-3</v>
      </c>
      <c r="AB8" s="86">
        <f>+AA8/L8</f>
        <v>-1.2215744710480743E-6</v>
      </c>
      <c r="AC8" s="74" t="str">
        <f>IF(AE8&gt;=1,"บ้านโอนแล้ว",IF(AA8&lt;0,"งบเพียงพอ",AA8))</f>
        <v>บ้านโอนแล้ว</v>
      </c>
      <c r="AD8" s="75"/>
      <c r="AE8" s="76">
        <v>2</v>
      </c>
      <c r="AF8" s="87"/>
      <c r="AG8" s="61" t="str">
        <f t="shared" si="0"/>
        <v>บ้านโอนแล้ว</v>
      </c>
      <c r="AH8" s="61">
        <f t="shared" si="1"/>
        <v>0</v>
      </c>
      <c r="AI8" s="87"/>
      <c r="AJ8" s="75">
        <v>12440</v>
      </c>
      <c r="AK8" t="s">
        <v>56</v>
      </c>
    </row>
    <row r="9" spans="1:37" ht="24" x14ac:dyDescent="0.55000000000000004">
      <c r="A9" s="62" t="str">
        <f t="shared" ref="A9:A39" si="3">"4/022-CO-01-"&amp;B9</f>
        <v>4/022-CO-01-A02-R-001</v>
      </c>
      <c r="B9" s="63" t="s">
        <v>69</v>
      </c>
      <c r="C9" s="63">
        <v>2</v>
      </c>
      <c r="D9" s="64" t="s">
        <v>51</v>
      </c>
      <c r="E9" s="48" t="s">
        <v>52</v>
      </c>
      <c r="F9" s="48" t="s">
        <v>52</v>
      </c>
      <c r="G9" s="78" t="s">
        <v>53</v>
      </c>
      <c r="H9" s="48" t="s">
        <v>54</v>
      </c>
      <c r="I9" s="67" t="s">
        <v>55</v>
      </c>
      <c r="J9" s="68" t="str">
        <f t="shared" si="2"/>
        <v>2PN2020_TW2F_11.4B_35.35</v>
      </c>
      <c r="K9" s="31">
        <v>2413679.29</v>
      </c>
      <c r="L9" s="79">
        <v>2457310</v>
      </c>
      <c r="M9" s="80">
        <v>2413679.29</v>
      </c>
      <c r="N9" s="81">
        <f t="shared" ref="N9:N39" si="4">+L9-M9</f>
        <v>43630.709999999963</v>
      </c>
      <c r="O9" s="82">
        <f t="shared" ref="O9:O39" si="5">+L9-K9</f>
        <v>43630.709999999963</v>
      </c>
      <c r="P9" s="82"/>
      <c r="Q9" s="83"/>
      <c r="R9" s="69"/>
      <c r="S9" s="69">
        <v>7500</v>
      </c>
      <c r="T9" s="69"/>
      <c r="U9" s="69"/>
      <c r="V9" s="69">
        <v>0</v>
      </c>
      <c r="W9" s="84">
        <f>ROUND(L9*1.5%,-3)-1030</f>
        <v>35970</v>
      </c>
      <c r="X9" s="85">
        <v>1182169.8674999999</v>
      </c>
      <c r="Y9" s="80">
        <v>1231560</v>
      </c>
      <c r="Z9" s="69">
        <f t="shared" ref="Z9:Z39" si="6">ROUND(SUM(Q9:Y9),0)</f>
        <v>2457200</v>
      </c>
      <c r="AA9" s="72">
        <f>+Z9-L9</f>
        <v>-110</v>
      </c>
      <c r="AB9" s="86">
        <f t="shared" ref="AB9:AB39" si="7">+AA9/L9</f>
        <v>-4.476439684044748E-5</v>
      </c>
      <c r="AC9" s="74" t="str">
        <f t="shared" ref="AC9:AC13" si="8">IF(AE9&gt;=1,"บ้านโอนแล้ว",IF(AA9&lt;0,"งบเพียงพอ",AA9))</f>
        <v>บ้านโอนแล้ว</v>
      </c>
      <c r="AD9" s="75"/>
      <c r="AE9" s="76">
        <v>2</v>
      </c>
      <c r="AF9" s="87"/>
      <c r="AG9" s="61" t="str">
        <f t="shared" si="0"/>
        <v>บ้านโอนแล้ว</v>
      </c>
      <c r="AH9" s="61">
        <f t="shared" si="1"/>
        <v>0</v>
      </c>
      <c r="AI9" s="87"/>
      <c r="AJ9" s="75">
        <v>12440</v>
      </c>
      <c r="AK9" t="s">
        <v>56</v>
      </c>
    </row>
    <row r="10" spans="1:37" ht="24" x14ac:dyDescent="0.55000000000000004">
      <c r="A10" s="62" t="str">
        <f t="shared" si="3"/>
        <v>4/022-CO-01-A03-R-001</v>
      </c>
      <c r="B10" s="63" t="s">
        <v>70</v>
      </c>
      <c r="C10" s="63">
        <v>2</v>
      </c>
      <c r="D10" s="64" t="s">
        <v>51</v>
      </c>
      <c r="E10" s="48" t="s">
        <v>52</v>
      </c>
      <c r="F10" s="48" t="s">
        <v>52</v>
      </c>
      <c r="G10" s="78" t="s">
        <v>53</v>
      </c>
      <c r="H10" s="48" t="s">
        <v>54</v>
      </c>
      <c r="I10" s="67" t="s">
        <v>55</v>
      </c>
      <c r="J10" s="68" t="str">
        <f t="shared" si="2"/>
        <v>2PN2020_TW2F_11.4B_35.35</v>
      </c>
      <c r="K10" s="31">
        <v>2344314.7599999998</v>
      </c>
      <c r="L10" s="79">
        <v>2454661</v>
      </c>
      <c r="M10" s="80">
        <v>2314313.4300000002</v>
      </c>
      <c r="N10" s="81">
        <f t="shared" si="4"/>
        <v>140347.56999999983</v>
      </c>
      <c r="O10" s="82">
        <f t="shared" si="5"/>
        <v>110346.24000000022</v>
      </c>
      <c r="P10" s="82"/>
      <c r="Q10" s="83"/>
      <c r="R10" s="83"/>
      <c r="S10" s="69">
        <v>7500</v>
      </c>
      <c r="T10" s="69"/>
      <c r="U10" s="69"/>
      <c r="V10" s="69">
        <v>0</v>
      </c>
      <c r="W10" s="84">
        <f t="shared" ref="W10" si="9">ROUND(L10*1.5%,-3)</f>
        <v>37000</v>
      </c>
      <c r="X10" s="85">
        <v>1179897.9194000002</v>
      </c>
      <c r="Y10" s="80">
        <v>1231560</v>
      </c>
      <c r="Z10" s="69">
        <f t="shared" si="6"/>
        <v>2455958</v>
      </c>
      <c r="AA10" s="72">
        <f t="shared" ref="AA10:AA25" si="10">+Z10-L10</f>
        <v>1297</v>
      </c>
      <c r="AB10" s="86">
        <f t="shared" si="7"/>
        <v>5.2838253428884882E-4</v>
      </c>
      <c r="AC10" s="74" t="str">
        <f t="shared" si="8"/>
        <v>บ้านโอนแล้ว</v>
      </c>
      <c r="AD10" s="75"/>
      <c r="AE10" s="76">
        <v>2</v>
      </c>
      <c r="AF10" s="87"/>
      <c r="AG10" s="61" t="str">
        <f t="shared" si="0"/>
        <v>บ้านโอนแล้ว</v>
      </c>
      <c r="AH10" s="61">
        <f t="shared" si="1"/>
        <v>1297</v>
      </c>
      <c r="AI10" s="87"/>
      <c r="AJ10" s="75">
        <v>12440</v>
      </c>
      <c r="AK10" t="s">
        <v>56</v>
      </c>
    </row>
    <row r="11" spans="1:37" ht="24" x14ac:dyDescent="0.55000000000000004">
      <c r="A11" s="62" t="str">
        <f t="shared" si="3"/>
        <v>4/022-CO-01-A04-R-001</v>
      </c>
      <c r="B11" s="63" t="s">
        <v>71</v>
      </c>
      <c r="C11" s="63">
        <v>2</v>
      </c>
      <c r="D11" s="64" t="s">
        <v>51</v>
      </c>
      <c r="E11" s="48" t="s">
        <v>52</v>
      </c>
      <c r="F11" s="48" t="s">
        <v>52</v>
      </c>
      <c r="G11" s="78" t="s">
        <v>53</v>
      </c>
      <c r="H11" s="48" t="s">
        <v>54</v>
      </c>
      <c r="I11" s="67" t="s">
        <v>55</v>
      </c>
      <c r="J11" s="68" t="str">
        <f t="shared" si="2"/>
        <v>2PN2020_TW2F_11.4B_35.35</v>
      </c>
      <c r="K11" s="31">
        <v>2413006</v>
      </c>
      <c r="L11" s="79">
        <v>2453728</v>
      </c>
      <c r="M11" s="80">
        <v>2413006</v>
      </c>
      <c r="N11" s="81">
        <f t="shared" si="4"/>
        <v>40722</v>
      </c>
      <c r="O11" s="82">
        <f t="shared" si="5"/>
        <v>40722</v>
      </c>
      <c r="P11" s="82"/>
      <c r="Q11" s="83"/>
      <c r="R11" s="83"/>
      <c r="S11" s="69">
        <v>7500</v>
      </c>
      <c r="T11" s="69"/>
      <c r="U11" s="69"/>
      <c r="V11" s="69">
        <v>0</v>
      </c>
      <c r="W11" s="84">
        <f>ROUND(L11*1.5%,-3)-3780-60</f>
        <v>33160</v>
      </c>
      <c r="X11" s="85">
        <v>1181448.4189999995</v>
      </c>
      <c r="Y11" s="80">
        <v>1231560</v>
      </c>
      <c r="Z11" s="69">
        <f t="shared" si="6"/>
        <v>2453668</v>
      </c>
      <c r="AA11" s="72">
        <f>+Z11-L11</f>
        <v>-60</v>
      </c>
      <c r="AB11" s="86">
        <f t="shared" si="7"/>
        <v>-2.4452588061920474E-5</v>
      </c>
      <c r="AC11" s="74" t="str">
        <f t="shared" si="8"/>
        <v>บ้านโอนแล้ว</v>
      </c>
      <c r="AD11" s="75"/>
      <c r="AE11" s="76">
        <v>1</v>
      </c>
      <c r="AF11" s="87"/>
      <c r="AG11" s="61" t="str">
        <f t="shared" si="0"/>
        <v>บ้านโอนแล้ว</v>
      </c>
      <c r="AH11" s="61">
        <f t="shared" si="1"/>
        <v>0</v>
      </c>
      <c r="AI11" s="87"/>
      <c r="AJ11" s="75">
        <v>12440</v>
      </c>
      <c r="AK11" t="s">
        <v>56</v>
      </c>
    </row>
    <row r="12" spans="1:37" ht="24" x14ac:dyDescent="0.55000000000000004">
      <c r="A12" s="62"/>
      <c r="B12" s="63"/>
      <c r="C12" s="63"/>
      <c r="D12" s="64"/>
      <c r="E12" s="48"/>
      <c r="F12" s="48"/>
      <c r="G12" s="78"/>
      <c r="H12" s="48"/>
      <c r="I12" s="67"/>
      <c r="J12" s="68"/>
      <c r="K12" s="31"/>
      <c r="L12" s="79"/>
      <c r="M12" s="80"/>
      <c r="N12" s="81"/>
      <c r="O12" s="82"/>
      <c r="P12" s="82"/>
      <c r="Q12" s="83"/>
      <c r="R12" s="83"/>
      <c r="S12" s="69"/>
      <c r="T12" s="69"/>
      <c r="U12" s="69"/>
      <c r="V12" s="69"/>
      <c r="W12" s="84"/>
      <c r="X12" s="85"/>
      <c r="Y12" s="80"/>
      <c r="Z12" s="69"/>
      <c r="AA12" s="72"/>
      <c r="AB12" s="86"/>
      <c r="AC12" s="74"/>
      <c r="AD12" s="75"/>
      <c r="AE12" s="76"/>
      <c r="AF12" s="87"/>
      <c r="AG12" s="61"/>
      <c r="AH12" s="61"/>
      <c r="AI12" s="87"/>
      <c r="AJ12" s="75"/>
      <c r="AK12"/>
    </row>
    <row r="13" spans="1:37" ht="24" x14ac:dyDescent="0.55000000000000004">
      <c r="A13" s="62"/>
      <c r="B13" s="63"/>
      <c r="C13" s="63"/>
      <c r="D13" s="64"/>
      <c r="E13" s="48"/>
      <c r="F13" s="48"/>
      <c r="G13" s="78"/>
      <c r="H13" s="48"/>
      <c r="I13" s="67"/>
      <c r="J13" s="68"/>
      <c r="K13" s="31"/>
      <c r="L13" s="79"/>
      <c r="M13" s="80"/>
      <c r="N13" s="81"/>
      <c r="O13" s="82"/>
      <c r="P13" s="82"/>
      <c r="Q13" s="83"/>
      <c r="R13" s="83"/>
      <c r="S13" s="69"/>
      <c r="T13" s="69"/>
      <c r="U13" s="69"/>
      <c r="V13" s="69"/>
      <c r="W13" s="88"/>
      <c r="X13" s="89"/>
      <c r="Y13" s="80"/>
      <c r="Z13" s="69"/>
      <c r="AA13" s="72"/>
      <c r="AB13" s="86"/>
      <c r="AC13" s="74"/>
      <c r="AD13" s="90"/>
      <c r="AE13" s="76"/>
      <c r="AF13" s="87"/>
      <c r="AG13" s="61"/>
      <c r="AH13" s="61"/>
      <c r="AI13" s="87"/>
      <c r="AJ13" s="75"/>
      <c r="AK13"/>
    </row>
    <row r="14" spans="1:37" ht="24" x14ac:dyDescent="0.55000000000000004">
      <c r="A14" s="62"/>
      <c r="B14" s="63"/>
      <c r="C14" s="63"/>
      <c r="D14" s="64"/>
      <c r="E14" s="48"/>
      <c r="F14" s="48"/>
      <c r="G14" s="78"/>
      <c r="H14" s="48"/>
      <c r="I14" s="67"/>
      <c r="J14" s="68"/>
      <c r="K14" s="31"/>
      <c r="L14" s="79"/>
      <c r="M14" s="80"/>
      <c r="N14" s="81"/>
      <c r="O14" s="82"/>
      <c r="P14" s="82"/>
      <c r="Q14" s="83"/>
      <c r="R14" s="83"/>
      <c r="S14" s="69"/>
      <c r="T14" s="69"/>
      <c r="U14" s="69"/>
      <c r="V14" s="69"/>
      <c r="W14" s="88"/>
      <c r="X14" s="89"/>
      <c r="Y14" s="80"/>
      <c r="Z14" s="69"/>
      <c r="AA14" s="72"/>
      <c r="AB14" s="86"/>
      <c r="AC14" s="90"/>
      <c r="AD14" s="75"/>
      <c r="AE14" s="76"/>
      <c r="AF14" s="87"/>
      <c r="AG14" s="61"/>
      <c r="AH14" s="61"/>
      <c r="AI14" s="87"/>
      <c r="AJ14" s="75"/>
      <c r="AK14"/>
    </row>
    <row r="15" spans="1:37" ht="24" x14ac:dyDescent="0.55000000000000004">
      <c r="A15" s="62"/>
      <c r="B15" s="63"/>
      <c r="C15" s="63"/>
      <c r="D15" s="64"/>
      <c r="E15" s="48"/>
      <c r="F15" s="48"/>
      <c r="G15" s="78"/>
      <c r="H15" s="48"/>
      <c r="I15" s="67"/>
      <c r="J15" s="68"/>
      <c r="K15" s="31"/>
      <c r="L15" s="79"/>
      <c r="M15" s="80"/>
      <c r="N15" s="81"/>
      <c r="O15" s="82"/>
      <c r="P15" s="82"/>
      <c r="Q15" s="83"/>
      <c r="R15" s="83"/>
      <c r="S15" s="69"/>
      <c r="T15" s="69"/>
      <c r="U15" s="69"/>
      <c r="V15" s="69"/>
      <c r="W15" s="88"/>
      <c r="X15" s="89"/>
      <c r="Y15" s="80"/>
      <c r="Z15" s="69"/>
      <c r="AA15" s="72"/>
      <c r="AB15" s="86"/>
      <c r="AC15" s="90"/>
      <c r="AD15" s="75"/>
      <c r="AE15" s="76"/>
      <c r="AF15" s="87"/>
      <c r="AG15" s="61"/>
      <c r="AH15" s="61"/>
      <c r="AI15" s="87"/>
      <c r="AJ15" s="75"/>
      <c r="AK15"/>
    </row>
    <row r="16" spans="1:37" ht="24" x14ac:dyDescent="0.55000000000000004">
      <c r="A16" s="62"/>
      <c r="B16" s="63"/>
      <c r="C16" s="63"/>
      <c r="D16" s="64"/>
      <c r="E16" s="48"/>
      <c r="F16" s="48"/>
      <c r="G16" s="78"/>
      <c r="H16" s="48"/>
      <c r="I16" s="67"/>
      <c r="J16" s="68"/>
      <c r="K16" s="31"/>
      <c r="L16" s="79"/>
      <c r="M16" s="80"/>
      <c r="N16" s="81"/>
      <c r="O16" s="82"/>
      <c r="P16" s="82"/>
      <c r="Q16" s="83"/>
      <c r="R16" s="83"/>
      <c r="S16" s="69"/>
      <c r="T16" s="69"/>
      <c r="U16" s="69"/>
      <c r="V16" s="69"/>
      <c r="W16" s="88"/>
      <c r="X16" s="89"/>
      <c r="Y16" s="80"/>
      <c r="Z16" s="69"/>
      <c r="AA16" s="72"/>
      <c r="AB16" s="86"/>
      <c r="AC16" s="90"/>
      <c r="AD16" s="75"/>
      <c r="AE16" s="76"/>
      <c r="AF16" s="87"/>
      <c r="AG16" s="61"/>
      <c r="AH16" s="61"/>
      <c r="AI16" s="87"/>
      <c r="AJ16" s="75"/>
      <c r="AK16"/>
    </row>
    <row r="17" spans="1:37" ht="24" x14ac:dyDescent="0.55000000000000004">
      <c r="A17" s="62"/>
      <c r="B17" s="63"/>
      <c r="C17" s="63"/>
      <c r="D17" s="64"/>
      <c r="E17" s="48"/>
      <c r="F17" s="48"/>
      <c r="G17" s="78"/>
      <c r="H17" s="48"/>
      <c r="I17" s="67"/>
      <c r="J17" s="68"/>
      <c r="K17" s="31"/>
      <c r="L17" s="79"/>
      <c r="M17" s="80"/>
      <c r="N17" s="81"/>
      <c r="O17" s="82"/>
      <c r="P17" s="82"/>
      <c r="Q17" s="83"/>
      <c r="R17" s="83"/>
      <c r="S17" s="69"/>
      <c r="T17" s="69"/>
      <c r="U17" s="69"/>
      <c r="V17" s="69"/>
      <c r="W17" s="88"/>
      <c r="X17" s="89"/>
      <c r="Y17" s="80"/>
      <c r="Z17" s="69"/>
      <c r="AA17" s="72"/>
      <c r="AB17" s="86"/>
      <c r="AC17" s="90"/>
      <c r="AD17" s="75"/>
      <c r="AE17" s="76"/>
      <c r="AF17" s="87"/>
      <c r="AG17" s="61"/>
      <c r="AH17" s="61"/>
      <c r="AI17" s="87"/>
      <c r="AJ17" s="75"/>
      <c r="AK17"/>
    </row>
    <row r="18" spans="1:37" ht="24" x14ac:dyDescent="0.55000000000000004">
      <c r="A18" s="62"/>
      <c r="B18" s="63"/>
      <c r="C18" s="63"/>
      <c r="D18" s="64"/>
      <c r="E18" s="48"/>
      <c r="F18" s="48"/>
      <c r="G18" s="78"/>
      <c r="H18" s="48"/>
      <c r="I18" s="67"/>
      <c r="J18" s="68"/>
      <c r="K18" s="31"/>
      <c r="L18" s="79"/>
      <c r="M18" s="80"/>
      <c r="N18" s="81"/>
      <c r="O18" s="82"/>
      <c r="P18" s="82"/>
      <c r="Q18" s="83"/>
      <c r="R18" s="83"/>
      <c r="S18" s="69"/>
      <c r="T18" s="69"/>
      <c r="U18" s="69"/>
      <c r="V18" s="69"/>
      <c r="W18" s="88"/>
      <c r="X18" s="89"/>
      <c r="Y18" s="80"/>
      <c r="Z18" s="69"/>
      <c r="AA18" s="72"/>
      <c r="AB18" s="86"/>
      <c r="AC18" s="90"/>
      <c r="AD18" s="75"/>
      <c r="AE18" s="76"/>
      <c r="AF18" s="87"/>
      <c r="AG18" s="61"/>
      <c r="AH18" s="61"/>
      <c r="AI18" s="87"/>
      <c r="AJ18" s="75"/>
      <c r="AK18"/>
    </row>
    <row r="19" spans="1:37" ht="24" x14ac:dyDescent="0.55000000000000004">
      <c r="A19" s="62"/>
      <c r="B19" s="63"/>
      <c r="C19" s="63"/>
      <c r="D19" s="64"/>
      <c r="E19" s="48"/>
      <c r="F19" s="48"/>
      <c r="G19" s="78"/>
      <c r="H19" s="48"/>
      <c r="I19" s="67"/>
      <c r="J19" s="68"/>
      <c r="K19" s="31"/>
      <c r="L19" s="79"/>
      <c r="M19" s="80"/>
      <c r="N19" s="81"/>
      <c r="O19" s="82"/>
      <c r="P19" s="82"/>
      <c r="Q19" s="83"/>
      <c r="R19" s="83"/>
      <c r="S19" s="69"/>
      <c r="T19" s="69"/>
      <c r="U19" s="69"/>
      <c r="V19" s="69"/>
      <c r="W19" s="88"/>
      <c r="X19" s="91"/>
      <c r="Y19" s="80"/>
      <c r="Z19" s="69"/>
      <c r="AA19" s="72"/>
      <c r="AB19" s="86"/>
      <c r="AC19" s="90"/>
      <c r="AD19" s="92"/>
      <c r="AE19" s="76"/>
      <c r="AF19" s="87"/>
      <c r="AG19" s="61"/>
      <c r="AH19" s="61"/>
      <c r="AI19" s="87"/>
      <c r="AJ19" s="75"/>
      <c r="AK19"/>
    </row>
    <row r="20" spans="1:37" ht="24" x14ac:dyDescent="0.55000000000000004">
      <c r="A20" s="62"/>
      <c r="B20" s="63"/>
      <c r="C20" s="63"/>
      <c r="D20" s="64"/>
      <c r="E20" s="48"/>
      <c r="F20" s="48"/>
      <c r="G20" s="78"/>
      <c r="H20" s="48"/>
      <c r="I20" s="67"/>
      <c r="J20" s="68"/>
      <c r="K20" s="31"/>
      <c r="L20" s="79"/>
      <c r="M20" s="80"/>
      <c r="N20" s="81"/>
      <c r="O20" s="82"/>
      <c r="P20" s="82"/>
      <c r="Q20" s="83"/>
      <c r="R20" s="83"/>
      <c r="S20" s="69"/>
      <c r="T20" s="69"/>
      <c r="U20" s="69"/>
      <c r="V20" s="69"/>
      <c r="W20" s="88"/>
      <c r="X20" s="93"/>
      <c r="Y20" s="80"/>
      <c r="Z20" s="69"/>
      <c r="AA20" s="72"/>
      <c r="AB20" s="86"/>
      <c r="AC20" s="90"/>
      <c r="AD20" s="92"/>
      <c r="AE20" s="76"/>
      <c r="AF20" s="87"/>
      <c r="AG20" s="61"/>
      <c r="AH20" s="61"/>
      <c r="AI20" s="87"/>
      <c r="AJ20" s="75"/>
      <c r="AK20"/>
    </row>
    <row r="21" spans="1:37" ht="24" x14ac:dyDescent="0.55000000000000004">
      <c r="A21" s="62"/>
      <c r="B21" s="63"/>
      <c r="C21" s="63"/>
      <c r="D21" s="64"/>
      <c r="E21" s="48"/>
      <c r="F21" s="48"/>
      <c r="G21" s="78"/>
      <c r="H21" s="48"/>
      <c r="I21" s="67"/>
      <c r="J21" s="68"/>
      <c r="K21" s="31"/>
      <c r="L21" s="79"/>
      <c r="M21" s="80"/>
      <c r="N21" s="81"/>
      <c r="O21" s="82"/>
      <c r="P21" s="82"/>
      <c r="Q21" s="83"/>
      <c r="R21" s="83"/>
      <c r="S21" s="69"/>
      <c r="T21" s="69"/>
      <c r="U21" s="69"/>
      <c r="V21" s="69"/>
      <c r="W21" s="88"/>
      <c r="X21" s="91"/>
      <c r="Y21" s="80"/>
      <c r="Z21" s="69"/>
      <c r="AA21" s="72"/>
      <c r="AB21" s="86"/>
      <c r="AC21" s="90"/>
      <c r="AD21" s="92"/>
      <c r="AE21" s="76"/>
      <c r="AF21" s="87"/>
      <c r="AG21" s="61"/>
      <c r="AH21" s="61"/>
      <c r="AI21" s="87"/>
      <c r="AJ21" s="75"/>
      <c r="AK21"/>
    </row>
    <row r="22" spans="1:37" ht="24" x14ac:dyDescent="0.55000000000000004">
      <c r="A22" s="62"/>
      <c r="B22" s="63"/>
      <c r="C22" s="63"/>
      <c r="D22" s="64"/>
      <c r="E22" s="48"/>
      <c r="F22" s="48"/>
      <c r="G22" s="78"/>
      <c r="H22" s="48"/>
      <c r="I22" s="67"/>
      <c r="J22" s="68"/>
      <c r="K22" s="31"/>
      <c r="L22" s="79"/>
      <c r="M22" s="80"/>
      <c r="N22" s="81"/>
      <c r="O22" s="82"/>
      <c r="P22" s="82"/>
      <c r="Q22" s="83"/>
      <c r="R22" s="83"/>
      <c r="S22" s="69"/>
      <c r="T22" s="69"/>
      <c r="U22" s="69"/>
      <c r="V22" s="69"/>
      <c r="W22" s="88"/>
      <c r="X22" s="91"/>
      <c r="Y22" s="80"/>
      <c r="Z22" s="69"/>
      <c r="AA22" s="72"/>
      <c r="AB22" s="86"/>
      <c r="AC22" s="90"/>
      <c r="AD22" s="92"/>
      <c r="AE22" s="76"/>
      <c r="AF22" s="87"/>
      <c r="AG22" s="61"/>
      <c r="AH22" s="61"/>
      <c r="AI22" s="87"/>
      <c r="AJ22" s="75"/>
      <c r="AK22"/>
    </row>
    <row r="23" spans="1:37" ht="24" x14ac:dyDescent="0.55000000000000004">
      <c r="A23" s="62"/>
      <c r="B23" s="63"/>
      <c r="C23" s="63"/>
      <c r="D23" s="64"/>
      <c r="E23" s="48"/>
      <c r="F23" s="48"/>
      <c r="G23" s="78"/>
      <c r="H23" s="48"/>
      <c r="I23" s="67"/>
      <c r="J23" s="68"/>
      <c r="K23" s="31"/>
      <c r="L23" s="79"/>
      <c r="M23" s="80"/>
      <c r="N23" s="81"/>
      <c r="O23" s="82"/>
      <c r="P23" s="82"/>
      <c r="Q23" s="83"/>
      <c r="R23" s="83"/>
      <c r="S23" s="69"/>
      <c r="T23" s="69"/>
      <c r="U23" s="69"/>
      <c r="V23" s="69"/>
      <c r="W23" s="88"/>
      <c r="X23" s="89"/>
      <c r="Y23" s="80"/>
      <c r="Z23" s="69"/>
      <c r="AA23" s="72"/>
      <c r="AB23" s="86"/>
      <c r="AC23" s="90"/>
      <c r="AD23" s="92"/>
      <c r="AE23" s="76"/>
      <c r="AF23" s="87"/>
      <c r="AG23" s="61"/>
      <c r="AH23" s="61"/>
      <c r="AI23" s="87"/>
      <c r="AJ23" s="75"/>
      <c r="AK23"/>
    </row>
    <row r="24" spans="1:37" ht="24" x14ac:dyDescent="0.55000000000000004">
      <c r="A24" s="62"/>
      <c r="B24" s="63"/>
      <c r="C24" s="63"/>
      <c r="D24" s="64"/>
      <c r="E24" s="48"/>
      <c r="F24" s="48"/>
      <c r="G24" s="78"/>
      <c r="H24" s="48"/>
      <c r="I24" s="67"/>
      <c r="J24" s="68"/>
      <c r="K24" s="31"/>
      <c r="L24" s="79"/>
      <c r="M24" s="80"/>
      <c r="N24" s="81"/>
      <c r="O24" s="82"/>
      <c r="P24" s="82"/>
      <c r="Q24" s="83"/>
      <c r="R24" s="83"/>
      <c r="S24" s="69"/>
      <c r="T24" s="69"/>
      <c r="U24" s="69"/>
      <c r="V24" s="69"/>
      <c r="W24" s="88"/>
      <c r="X24" s="89"/>
      <c r="Y24" s="80"/>
      <c r="Z24" s="69"/>
      <c r="AA24" s="72"/>
      <c r="AB24" s="86"/>
      <c r="AC24" s="90"/>
      <c r="AD24" s="92"/>
      <c r="AE24" s="76"/>
      <c r="AF24" s="87"/>
      <c r="AG24" s="61"/>
      <c r="AH24" s="61"/>
      <c r="AI24" s="87"/>
      <c r="AJ24" s="75"/>
      <c r="AK24"/>
    </row>
    <row r="25" spans="1:37" ht="24" x14ac:dyDescent="0.55000000000000004">
      <c r="A25" s="62"/>
      <c r="B25" s="63"/>
      <c r="C25" s="63"/>
      <c r="D25" s="64"/>
      <c r="E25" s="48"/>
      <c r="F25" s="48"/>
      <c r="G25" s="78"/>
      <c r="H25" s="48"/>
      <c r="I25" s="67"/>
      <c r="J25" s="68"/>
      <c r="K25" s="31"/>
      <c r="L25" s="79"/>
      <c r="M25" s="80"/>
      <c r="N25" s="81"/>
      <c r="O25" s="82"/>
      <c r="P25" s="82"/>
      <c r="Q25" s="83"/>
      <c r="R25" s="83"/>
      <c r="S25" s="69"/>
      <c r="T25" s="69"/>
      <c r="U25" s="69"/>
      <c r="V25" s="69"/>
      <c r="W25" s="88"/>
      <c r="X25" s="85"/>
      <c r="Y25" s="80"/>
      <c r="Z25" s="69"/>
      <c r="AA25" s="72"/>
      <c r="AB25" s="86"/>
      <c r="AC25" s="74"/>
      <c r="AD25" s="90"/>
      <c r="AE25" s="76"/>
      <c r="AF25" s="87"/>
      <c r="AG25" s="61"/>
      <c r="AH25" s="61"/>
      <c r="AI25" s="87"/>
      <c r="AJ25" s="75"/>
      <c r="AK25"/>
    </row>
    <row r="26" spans="1:37" ht="24" x14ac:dyDescent="0.55000000000000004">
      <c r="A26" s="62"/>
      <c r="B26" s="63"/>
      <c r="C26" s="63"/>
      <c r="D26" s="64"/>
      <c r="E26" s="48"/>
      <c r="F26" s="48"/>
      <c r="G26" s="78"/>
      <c r="H26" s="48"/>
      <c r="I26" s="67"/>
      <c r="J26" s="68"/>
      <c r="K26" s="31"/>
      <c r="L26" s="79"/>
      <c r="M26" s="80"/>
      <c r="N26" s="81"/>
      <c r="O26" s="82"/>
      <c r="P26" s="82"/>
      <c r="Q26" s="83"/>
      <c r="R26" s="83"/>
      <c r="S26" s="69"/>
      <c r="T26" s="69"/>
      <c r="U26" s="69"/>
      <c r="V26" s="69"/>
      <c r="W26" s="84"/>
      <c r="X26" s="85"/>
      <c r="Y26" s="80"/>
      <c r="Z26" s="69"/>
      <c r="AA26" s="72"/>
      <c r="AB26" s="86"/>
      <c r="AC26" s="74"/>
      <c r="AD26" s="75"/>
      <c r="AE26" s="76"/>
      <c r="AF26" s="87"/>
      <c r="AG26" s="61"/>
      <c r="AH26" s="61"/>
      <c r="AI26" s="87"/>
      <c r="AJ26" s="75"/>
      <c r="AK26"/>
    </row>
    <row r="27" spans="1:37" ht="24" x14ac:dyDescent="0.55000000000000004">
      <c r="A27" s="62"/>
      <c r="B27" s="63"/>
      <c r="C27" s="63"/>
      <c r="D27" s="64"/>
      <c r="E27" s="48"/>
      <c r="F27" s="48"/>
      <c r="G27" s="78"/>
      <c r="H27" s="48"/>
      <c r="I27" s="67"/>
      <c r="J27" s="68"/>
      <c r="K27" s="31"/>
      <c r="L27" s="79"/>
      <c r="M27" s="80"/>
      <c r="N27" s="81"/>
      <c r="O27" s="82"/>
      <c r="P27" s="82"/>
      <c r="Q27" s="83"/>
      <c r="R27" s="83"/>
      <c r="S27" s="69"/>
      <c r="T27" s="69"/>
      <c r="U27" s="69"/>
      <c r="V27" s="69"/>
      <c r="W27" s="84"/>
      <c r="X27" s="85"/>
      <c r="Y27" s="80"/>
      <c r="Z27" s="69"/>
      <c r="AA27" s="72"/>
      <c r="AB27" s="86"/>
      <c r="AC27" s="74"/>
      <c r="AD27" s="75"/>
      <c r="AE27" s="76"/>
      <c r="AF27" s="87"/>
      <c r="AG27" s="61"/>
      <c r="AH27" s="61"/>
      <c r="AI27" s="87"/>
      <c r="AJ27" s="75"/>
      <c r="AK27"/>
    </row>
    <row r="28" spans="1:37" ht="24" x14ac:dyDescent="0.55000000000000004">
      <c r="A28" s="62"/>
      <c r="B28" s="172"/>
      <c r="C28" s="63"/>
      <c r="D28" s="64"/>
      <c r="E28" s="48"/>
      <c r="F28" s="48"/>
      <c r="G28" s="78"/>
      <c r="H28" s="48"/>
      <c r="I28" s="67"/>
      <c r="J28" s="68"/>
      <c r="K28" s="31"/>
      <c r="L28" s="79"/>
      <c r="M28" s="80"/>
      <c r="N28" s="81"/>
      <c r="O28" s="82"/>
      <c r="P28" s="82"/>
      <c r="Q28" s="83"/>
      <c r="R28" s="83"/>
      <c r="S28" s="69"/>
      <c r="T28" s="69"/>
      <c r="U28" s="69"/>
      <c r="V28" s="69"/>
      <c r="W28" s="84"/>
      <c r="X28" s="85"/>
      <c r="Y28" s="80"/>
      <c r="Z28" s="69"/>
      <c r="AA28" s="72"/>
      <c r="AB28" s="86"/>
      <c r="AC28" s="74"/>
      <c r="AD28" s="94"/>
      <c r="AE28" s="76"/>
      <c r="AF28" s="87"/>
      <c r="AG28" s="61"/>
      <c r="AH28" s="61"/>
      <c r="AI28" s="87"/>
      <c r="AJ28" s="75"/>
      <c r="AK28"/>
    </row>
    <row r="29" spans="1:37" ht="24" x14ac:dyDescent="0.55000000000000004">
      <c r="A29" s="62"/>
      <c r="B29" s="172"/>
      <c r="C29" s="63"/>
      <c r="D29" s="64"/>
      <c r="E29" s="48"/>
      <c r="F29" s="48"/>
      <c r="G29" s="78"/>
      <c r="H29" s="48"/>
      <c r="I29" s="67"/>
      <c r="J29" s="68"/>
      <c r="K29" s="31"/>
      <c r="L29" s="79"/>
      <c r="M29" s="80"/>
      <c r="N29" s="81"/>
      <c r="O29" s="82"/>
      <c r="P29" s="82"/>
      <c r="Q29" s="83"/>
      <c r="R29" s="83"/>
      <c r="S29" s="69"/>
      <c r="T29" s="69"/>
      <c r="U29" s="69"/>
      <c r="V29" s="69"/>
      <c r="W29" s="84"/>
      <c r="X29" s="85"/>
      <c r="Y29" s="80"/>
      <c r="Z29" s="69"/>
      <c r="AA29" s="72"/>
      <c r="AB29" s="86"/>
      <c r="AC29" s="74"/>
      <c r="AD29" s="75"/>
      <c r="AE29" s="76"/>
      <c r="AF29" s="87"/>
      <c r="AG29" s="61"/>
      <c r="AH29" s="61"/>
      <c r="AI29" s="87"/>
      <c r="AJ29" s="75"/>
      <c r="AK29"/>
    </row>
    <row r="30" spans="1:37" ht="26.25" customHeight="1" x14ac:dyDescent="0.55000000000000004">
      <c r="A30" s="62"/>
      <c r="B30" s="63"/>
      <c r="C30" s="63"/>
      <c r="D30" s="64"/>
      <c r="E30" s="48"/>
      <c r="F30" s="48"/>
      <c r="G30" s="78"/>
      <c r="H30" s="48"/>
      <c r="I30" s="67"/>
      <c r="J30" s="68"/>
      <c r="K30" s="31"/>
      <c r="L30" s="79"/>
      <c r="M30" s="80"/>
      <c r="N30" s="81"/>
      <c r="O30" s="82"/>
      <c r="P30" s="82"/>
      <c r="Q30" s="83"/>
      <c r="R30" s="83"/>
      <c r="S30" s="69"/>
      <c r="T30" s="69"/>
      <c r="U30" s="69"/>
      <c r="V30" s="69"/>
      <c r="W30" s="84"/>
      <c r="X30" s="85"/>
      <c r="Y30" s="80"/>
      <c r="Z30" s="69"/>
      <c r="AA30" s="72"/>
      <c r="AB30" s="86"/>
      <c r="AC30" s="74"/>
      <c r="AD30" s="92"/>
      <c r="AE30" s="76"/>
      <c r="AF30" s="87"/>
      <c r="AG30" s="61"/>
      <c r="AH30" s="61"/>
      <c r="AI30" s="87"/>
      <c r="AJ30" s="75"/>
      <c r="AK30" s="95"/>
    </row>
    <row r="31" spans="1:37" ht="24" x14ac:dyDescent="0.55000000000000004">
      <c r="A31" s="62"/>
      <c r="B31" s="63"/>
      <c r="C31" s="63"/>
      <c r="D31" s="64"/>
      <c r="E31" s="48"/>
      <c r="F31" s="48"/>
      <c r="G31" s="78"/>
      <c r="H31" s="48"/>
      <c r="I31" s="67"/>
      <c r="J31" s="68"/>
      <c r="K31" s="31"/>
      <c r="L31" s="79"/>
      <c r="M31" s="80"/>
      <c r="N31" s="81"/>
      <c r="O31" s="82"/>
      <c r="P31" s="82"/>
      <c r="Q31" s="83"/>
      <c r="R31" s="83"/>
      <c r="S31" s="69"/>
      <c r="T31" s="69"/>
      <c r="U31" s="69"/>
      <c r="V31" s="69"/>
      <c r="W31" s="84"/>
      <c r="X31" s="85"/>
      <c r="Y31" s="80"/>
      <c r="Z31" s="69"/>
      <c r="AA31" s="72"/>
      <c r="AB31" s="86"/>
      <c r="AC31" s="74"/>
      <c r="AD31" s="92"/>
      <c r="AE31" s="76"/>
      <c r="AF31" s="87"/>
      <c r="AG31" s="61"/>
      <c r="AH31" s="61"/>
      <c r="AI31" s="87"/>
      <c r="AJ31" s="75"/>
      <c r="AK31" s="95"/>
    </row>
    <row r="32" spans="1:37" ht="24" x14ac:dyDescent="0.55000000000000004">
      <c r="A32" s="62"/>
      <c r="B32" s="63"/>
      <c r="C32" s="63"/>
      <c r="D32" s="64"/>
      <c r="E32" s="48"/>
      <c r="F32" s="48"/>
      <c r="G32" s="78"/>
      <c r="H32" s="48"/>
      <c r="I32" s="67"/>
      <c r="J32" s="68"/>
      <c r="K32" s="31"/>
      <c r="L32" s="79"/>
      <c r="M32" s="80"/>
      <c r="N32" s="81"/>
      <c r="O32" s="82"/>
      <c r="P32" s="82"/>
      <c r="Q32" s="69"/>
      <c r="R32" s="69"/>
      <c r="S32" s="69"/>
      <c r="T32" s="69"/>
      <c r="U32" s="69"/>
      <c r="V32" s="69"/>
      <c r="W32" s="84"/>
      <c r="X32" s="85"/>
      <c r="Y32" s="80"/>
      <c r="Z32" s="69"/>
      <c r="AA32" s="72"/>
      <c r="AB32" s="86"/>
      <c r="AC32" s="74"/>
      <c r="AD32" s="92"/>
      <c r="AE32" s="76"/>
      <c r="AF32" s="87"/>
      <c r="AG32" s="61"/>
      <c r="AH32" s="61"/>
      <c r="AI32" s="87"/>
      <c r="AJ32" s="75"/>
      <c r="AK32" s="95"/>
    </row>
    <row r="33" spans="1:37" ht="24" x14ac:dyDescent="0.55000000000000004">
      <c r="A33" s="62"/>
      <c r="B33" s="63"/>
      <c r="C33" s="63"/>
      <c r="D33" s="64"/>
      <c r="E33" s="48"/>
      <c r="F33" s="48"/>
      <c r="G33" s="78"/>
      <c r="H33" s="48"/>
      <c r="I33" s="67"/>
      <c r="J33" s="68"/>
      <c r="K33" s="31"/>
      <c r="L33" s="79"/>
      <c r="M33" s="80"/>
      <c r="N33" s="81"/>
      <c r="O33" s="82"/>
      <c r="P33" s="82"/>
      <c r="Q33" s="83"/>
      <c r="R33" s="83"/>
      <c r="S33" s="69"/>
      <c r="T33" s="69"/>
      <c r="U33" s="69"/>
      <c r="V33" s="69"/>
      <c r="W33" s="84"/>
      <c r="X33" s="85"/>
      <c r="Y33" s="80"/>
      <c r="Z33" s="69"/>
      <c r="AA33" s="72"/>
      <c r="AB33" s="86"/>
      <c r="AC33" s="74"/>
      <c r="AD33" s="94"/>
      <c r="AE33" s="76"/>
      <c r="AF33" s="87"/>
      <c r="AG33" s="61"/>
      <c r="AH33" s="61"/>
      <c r="AI33" s="87"/>
      <c r="AJ33" s="75"/>
      <c r="AK33" s="95"/>
    </row>
    <row r="34" spans="1:37" ht="24" x14ac:dyDescent="0.55000000000000004">
      <c r="A34" s="62"/>
      <c r="B34" s="63"/>
      <c r="C34" s="63"/>
      <c r="D34" s="64"/>
      <c r="E34" s="48"/>
      <c r="F34" s="48"/>
      <c r="G34" s="78"/>
      <c r="H34" s="48"/>
      <c r="I34" s="67"/>
      <c r="J34" s="68"/>
      <c r="K34" s="31"/>
      <c r="L34" s="79"/>
      <c r="M34" s="80"/>
      <c r="N34" s="81"/>
      <c r="O34" s="82"/>
      <c r="P34" s="82"/>
      <c r="Q34" s="83"/>
      <c r="R34" s="83"/>
      <c r="S34" s="69"/>
      <c r="T34" s="69"/>
      <c r="U34" s="69"/>
      <c r="V34" s="69"/>
      <c r="W34" s="84"/>
      <c r="X34" s="85"/>
      <c r="Y34" s="80"/>
      <c r="Z34" s="69"/>
      <c r="AA34" s="72"/>
      <c r="AB34" s="86"/>
      <c r="AC34" s="74"/>
      <c r="AD34" s="94"/>
      <c r="AE34" s="76"/>
      <c r="AF34" s="87"/>
      <c r="AG34" s="61"/>
      <c r="AH34" s="61"/>
      <c r="AI34" s="87"/>
      <c r="AJ34" s="75"/>
      <c r="AK34" s="95"/>
    </row>
    <row r="35" spans="1:37" ht="24" x14ac:dyDescent="0.55000000000000004">
      <c r="A35" s="62"/>
      <c r="B35" s="63"/>
      <c r="C35" s="63"/>
      <c r="D35" s="64"/>
      <c r="E35" s="48"/>
      <c r="F35" s="48"/>
      <c r="G35" s="78"/>
      <c r="H35" s="48"/>
      <c r="I35" s="67"/>
      <c r="J35" s="68"/>
      <c r="K35" s="31"/>
      <c r="L35" s="79"/>
      <c r="M35" s="80"/>
      <c r="N35" s="81"/>
      <c r="O35" s="82"/>
      <c r="P35" s="82"/>
      <c r="Q35" s="83"/>
      <c r="R35" s="83"/>
      <c r="S35" s="69"/>
      <c r="T35" s="69"/>
      <c r="U35" s="69"/>
      <c r="V35" s="69"/>
      <c r="W35" s="84"/>
      <c r="X35" s="85"/>
      <c r="Y35" s="80"/>
      <c r="Z35" s="69"/>
      <c r="AA35" s="72"/>
      <c r="AB35" s="86"/>
      <c r="AC35" s="74"/>
      <c r="AD35" s="75"/>
      <c r="AE35" s="76"/>
      <c r="AF35" s="87"/>
      <c r="AG35" s="61"/>
      <c r="AH35" s="61"/>
      <c r="AI35" s="87"/>
      <c r="AJ35" s="75"/>
      <c r="AK35" s="95"/>
    </row>
    <row r="36" spans="1:37" ht="24" x14ac:dyDescent="0.55000000000000004">
      <c r="A36" s="62"/>
      <c r="B36" s="63"/>
      <c r="C36" s="63"/>
      <c r="D36" s="64"/>
      <c r="E36" s="48"/>
      <c r="F36" s="48"/>
      <c r="G36" s="78"/>
      <c r="H36" s="48"/>
      <c r="I36" s="67"/>
      <c r="J36" s="68"/>
      <c r="K36" s="31"/>
      <c r="L36" s="79"/>
      <c r="M36" s="80"/>
      <c r="N36" s="81"/>
      <c r="O36" s="82"/>
      <c r="P36" s="82"/>
      <c r="Q36" s="83"/>
      <c r="R36" s="83"/>
      <c r="S36" s="69"/>
      <c r="T36" s="69"/>
      <c r="U36" s="69"/>
      <c r="V36" s="69"/>
      <c r="W36" s="84"/>
      <c r="X36" s="85"/>
      <c r="Y36" s="80"/>
      <c r="Z36" s="69"/>
      <c r="AA36" s="72"/>
      <c r="AB36" s="86"/>
      <c r="AC36" s="74"/>
      <c r="AD36" s="75"/>
      <c r="AE36" s="76"/>
      <c r="AF36" s="87"/>
      <c r="AG36" s="61"/>
      <c r="AH36" s="61"/>
      <c r="AI36" s="87"/>
      <c r="AJ36" s="75"/>
      <c r="AK36" s="95"/>
    </row>
    <row r="37" spans="1:37" ht="24" x14ac:dyDescent="0.55000000000000004">
      <c r="A37" s="62"/>
      <c r="B37" s="63"/>
      <c r="C37" s="63"/>
      <c r="D37" s="64"/>
      <c r="E37" s="48"/>
      <c r="F37" s="48"/>
      <c r="G37" s="78"/>
      <c r="H37" s="48"/>
      <c r="I37" s="67"/>
      <c r="J37" s="68"/>
      <c r="K37" s="31"/>
      <c r="L37" s="79"/>
      <c r="M37" s="80"/>
      <c r="N37" s="81"/>
      <c r="O37" s="82"/>
      <c r="P37" s="82"/>
      <c r="Q37" s="83"/>
      <c r="R37" s="83"/>
      <c r="S37" s="69"/>
      <c r="T37" s="69"/>
      <c r="U37" s="69"/>
      <c r="V37" s="69"/>
      <c r="W37" s="84"/>
      <c r="X37" s="85"/>
      <c r="Y37" s="80"/>
      <c r="Z37" s="69"/>
      <c r="AA37" s="72"/>
      <c r="AB37" s="86"/>
      <c r="AC37" s="74"/>
      <c r="AD37" s="75"/>
      <c r="AE37" s="76"/>
      <c r="AF37" s="87"/>
      <c r="AG37" s="61"/>
      <c r="AH37" s="61"/>
      <c r="AI37" s="87"/>
      <c r="AJ37" s="75"/>
      <c r="AK37" s="95"/>
    </row>
    <row r="38" spans="1:37" ht="24" x14ac:dyDescent="0.55000000000000004">
      <c r="A38" s="62"/>
      <c r="B38" s="63"/>
      <c r="C38" s="63"/>
      <c r="D38" s="64"/>
      <c r="E38" s="48"/>
      <c r="F38" s="48"/>
      <c r="G38" s="78"/>
      <c r="H38" s="48"/>
      <c r="I38" s="67"/>
      <c r="J38" s="68"/>
      <c r="K38" s="31"/>
      <c r="L38" s="79"/>
      <c r="M38" s="80"/>
      <c r="N38" s="81"/>
      <c r="O38" s="82"/>
      <c r="P38" s="82"/>
      <c r="Q38" s="83"/>
      <c r="R38" s="83"/>
      <c r="S38" s="69"/>
      <c r="T38" s="69"/>
      <c r="U38" s="69"/>
      <c r="V38" s="69"/>
      <c r="W38" s="84"/>
      <c r="X38" s="85"/>
      <c r="Y38" s="80"/>
      <c r="Z38" s="69"/>
      <c r="AA38" s="72"/>
      <c r="AB38" s="86"/>
      <c r="AC38" s="74"/>
      <c r="AD38" s="75"/>
      <c r="AE38" s="76"/>
      <c r="AF38" s="87"/>
      <c r="AG38" s="61"/>
      <c r="AH38" s="61"/>
      <c r="AI38" s="87"/>
      <c r="AJ38" s="75"/>
      <c r="AK38" s="95"/>
    </row>
    <row r="39" spans="1:37" ht="24" x14ac:dyDescent="0.55000000000000004">
      <c r="A39" s="62"/>
      <c r="B39" s="63"/>
      <c r="C39" s="63"/>
      <c r="D39" s="64"/>
      <c r="E39" s="48"/>
      <c r="F39" s="48"/>
      <c r="G39" s="78"/>
      <c r="H39" s="48"/>
      <c r="I39" s="67"/>
      <c r="J39" s="68"/>
      <c r="K39" s="31"/>
      <c r="L39" s="79"/>
      <c r="M39" s="80"/>
      <c r="N39" s="81"/>
      <c r="O39" s="82"/>
      <c r="P39" s="82"/>
      <c r="Q39" s="83"/>
      <c r="R39" s="83"/>
      <c r="S39" s="69"/>
      <c r="T39" s="69"/>
      <c r="U39" s="69"/>
      <c r="V39" s="69"/>
      <c r="W39" s="84"/>
      <c r="X39" s="85"/>
      <c r="Y39" s="80"/>
      <c r="Z39" s="69"/>
      <c r="AA39" s="72"/>
      <c r="AB39" s="86"/>
      <c r="AC39" s="74"/>
      <c r="AD39" s="75"/>
      <c r="AE39" s="76"/>
      <c r="AF39" s="87"/>
      <c r="AG39" s="61"/>
      <c r="AH39" s="61"/>
      <c r="AI39" s="87"/>
      <c r="AJ39" s="75"/>
      <c r="AK39" s="95"/>
    </row>
    <row r="40" spans="1:37" ht="24" x14ac:dyDescent="0.55000000000000004">
      <c r="A40" s="62"/>
      <c r="B40" s="63"/>
      <c r="C40" s="63"/>
      <c r="D40" s="64"/>
      <c r="E40" s="48"/>
      <c r="F40" s="48"/>
      <c r="G40" s="48"/>
      <c r="H40" s="96"/>
      <c r="I40" s="97"/>
      <c r="K40" s="98"/>
      <c r="L40" s="80"/>
      <c r="M40" s="80"/>
      <c r="N40" s="81"/>
      <c r="O40" s="99"/>
      <c r="P40" s="99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100"/>
      <c r="AB40" s="101"/>
      <c r="AC40" s="102"/>
      <c r="AD40" s="103"/>
      <c r="AE40" s="104"/>
      <c r="AF40" s="87"/>
      <c r="AG40" s="61">
        <f t="shared" ref="AG40:AG43" si="11">+AC40</f>
        <v>0</v>
      </c>
      <c r="AH40" s="61">
        <f t="shared" ref="AH40:AH43" si="12">IF(AE40&gt;1,IF(AA40&gt;0,AA40,0),0)</f>
        <v>0</v>
      </c>
      <c r="AI40" s="87"/>
      <c r="AJ40" s="103"/>
    </row>
    <row r="41" spans="1:37" ht="24" x14ac:dyDescent="0.55000000000000004">
      <c r="A41" s="105"/>
      <c r="B41" s="106"/>
      <c r="C41" s="106"/>
      <c r="D41" s="107"/>
      <c r="E41" s="48"/>
      <c r="F41" s="48"/>
      <c r="G41" s="48"/>
      <c r="H41" s="108"/>
      <c r="I41" s="109"/>
      <c r="K41" s="98"/>
      <c r="L41" s="80"/>
      <c r="M41" s="80"/>
      <c r="N41" s="81"/>
      <c r="O41" s="99"/>
      <c r="P41" s="99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100"/>
      <c r="AB41" s="101"/>
      <c r="AC41" s="102"/>
      <c r="AD41" s="103"/>
      <c r="AE41" s="104"/>
      <c r="AF41" s="87"/>
      <c r="AG41" s="61">
        <f t="shared" si="11"/>
        <v>0</v>
      </c>
      <c r="AH41" s="61">
        <f t="shared" si="12"/>
        <v>0</v>
      </c>
      <c r="AI41" s="87"/>
      <c r="AJ41" s="103"/>
    </row>
    <row r="42" spans="1:37" ht="24" x14ac:dyDescent="0.55000000000000004">
      <c r="A42" s="105"/>
      <c r="B42" s="106"/>
      <c r="C42" s="106"/>
      <c r="D42" s="107"/>
      <c r="E42" s="48"/>
      <c r="F42" s="48"/>
      <c r="G42" s="48"/>
      <c r="H42" s="108"/>
      <c r="I42" s="109"/>
      <c r="K42" s="98"/>
      <c r="L42" s="80"/>
      <c r="M42" s="80"/>
      <c r="N42" s="81"/>
      <c r="O42" s="99"/>
      <c r="P42" s="99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100"/>
      <c r="AB42" s="101"/>
      <c r="AC42" s="102"/>
      <c r="AD42" s="103"/>
      <c r="AE42" s="104"/>
      <c r="AF42" s="87"/>
      <c r="AG42" s="61">
        <f t="shared" si="11"/>
        <v>0</v>
      </c>
      <c r="AH42" s="61">
        <f t="shared" si="12"/>
        <v>0</v>
      </c>
      <c r="AI42" s="87"/>
      <c r="AJ42" s="103"/>
    </row>
    <row r="43" spans="1:37" ht="24" x14ac:dyDescent="0.55000000000000004">
      <c r="A43" s="105"/>
      <c r="B43" s="106"/>
      <c r="C43" s="106"/>
      <c r="D43" s="107"/>
      <c r="E43" s="48"/>
      <c r="F43" s="48"/>
      <c r="G43" s="48"/>
      <c r="H43" s="108"/>
      <c r="I43" s="109"/>
      <c r="K43" s="98"/>
      <c r="L43" s="80"/>
      <c r="M43" s="80"/>
      <c r="N43" s="81"/>
      <c r="O43" s="99"/>
      <c r="P43" s="99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100"/>
      <c r="AB43" s="101"/>
      <c r="AC43" s="102"/>
      <c r="AD43" s="103"/>
      <c r="AE43" s="104"/>
      <c r="AF43" s="87"/>
      <c r="AG43" s="61">
        <f t="shared" si="11"/>
        <v>0</v>
      </c>
      <c r="AH43" s="61">
        <f t="shared" si="12"/>
        <v>0</v>
      </c>
      <c r="AI43" s="87"/>
      <c r="AJ43" s="103"/>
    </row>
    <row r="44" spans="1:37" ht="24.75" thickBot="1" x14ac:dyDescent="0.6">
      <c r="A44" s="110"/>
      <c r="B44" s="111"/>
      <c r="C44" s="112">
        <f>SUM(C6:C43)</f>
        <v>8</v>
      </c>
      <c r="D44" s="113"/>
      <c r="E44" s="114"/>
      <c r="F44" s="114"/>
      <c r="G44" s="114"/>
      <c r="H44" s="115"/>
      <c r="I44" s="116"/>
      <c r="K44" s="112">
        <f>SUM(K6:K43)</f>
        <v>9583509.5299999993</v>
      </c>
      <c r="L44" s="112">
        <f>SUM(L6:L43)</f>
        <v>9821546</v>
      </c>
      <c r="M44" s="117"/>
      <c r="N44" s="117"/>
      <c r="O44" s="99"/>
      <c r="P44" s="99"/>
      <c r="Q44" s="117"/>
      <c r="R44" s="117"/>
      <c r="S44" s="117"/>
      <c r="T44" s="117"/>
      <c r="U44" s="117"/>
      <c r="V44" s="117"/>
      <c r="W44" s="112">
        <f>SUM(W6:W43)</f>
        <v>141965</v>
      </c>
      <c r="X44" s="112">
        <f>SUM(X6:X43)</f>
        <v>4724465.6958999997</v>
      </c>
      <c r="Y44" s="112">
        <f>SUM(Y6:Y43)</f>
        <v>4926240</v>
      </c>
      <c r="Z44" s="112">
        <f>SUM(Z6:Z43)</f>
        <v>9822670</v>
      </c>
      <c r="AA44" s="118">
        <f>SUM(AA6:AA43)</f>
        <v>1124</v>
      </c>
      <c r="AB44" s="119">
        <f>+AA44/L44</f>
        <v>1.1444226805026418E-4</v>
      </c>
      <c r="AC44" s="127">
        <f>SUM(AC6:AC43)</f>
        <v>0</v>
      </c>
      <c r="AD44" s="127">
        <f>SUM(AD6:AD43)</f>
        <v>0</v>
      </c>
      <c r="AE44" s="121">
        <f>SUM(AE6:AE43)</f>
        <v>7</v>
      </c>
      <c r="AF44" s="87"/>
      <c r="AG44" s="120">
        <f t="shared" ref="AG44:AH44" si="13">SUM(AG6:AG43)</f>
        <v>0</v>
      </c>
      <c r="AH44" s="112">
        <f t="shared" si="13"/>
        <v>1297</v>
      </c>
      <c r="AI44" s="87"/>
      <c r="AJ44" s="112">
        <f>SUM(AJ6:AJ43)</f>
        <v>49760</v>
      </c>
    </row>
    <row r="45" spans="1:37" ht="24" x14ac:dyDescent="0.55000000000000004">
      <c r="H45" s="124"/>
      <c r="O45" s="99"/>
      <c r="P45" s="99"/>
      <c r="AF45" s="87"/>
      <c r="AG45" s="87"/>
      <c r="AH45" s="87"/>
      <c r="AI45" s="87"/>
    </row>
    <row r="46" spans="1:37" ht="24" x14ac:dyDescent="0.55000000000000004">
      <c r="H46" s="124"/>
      <c r="O46" s="99"/>
      <c r="P46" s="99"/>
      <c r="AF46" s="87"/>
      <c r="AG46" s="87"/>
      <c r="AH46" s="87"/>
      <c r="AI46" s="87"/>
    </row>
    <row r="47" spans="1:37" ht="24" x14ac:dyDescent="0.55000000000000004">
      <c r="H47" s="124"/>
      <c r="O47" s="99"/>
      <c r="P47" s="99"/>
      <c r="AF47" s="87"/>
      <c r="AG47" s="87"/>
      <c r="AH47" s="87"/>
      <c r="AI47" s="87"/>
    </row>
    <row r="48" spans="1:37" ht="24" x14ac:dyDescent="0.55000000000000004">
      <c r="H48" s="124"/>
      <c r="O48" s="99"/>
      <c r="P48" s="99"/>
      <c r="AF48" s="87"/>
      <c r="AG48" s="87"/>
      <c r="AH48" s="87"/>
      <c r="AI48" s="87"/>
    </row>
    <row r="49" spans="4:35" ht="24" x14ac:dyDescent="0.55000000000000004">
      <c r="H49" s="124"/>
      <c r="O49" s="99"/>
      <c r="P49" s="99"/>
      <c r="AF49" s="87"/>
      <c r="AG49" s="87"/>
      <c r="AH49" s="87"/>
      <c r="AI49" s="87"/>
    </row>
    <row r="50" spans="4:35" ht="23.25" x14ac:dyDescent="0.55000000000000004">
      <c r="H50" s="124"/>
      <c r="P50" s="126"/>
    </row>
    <row r="51" spans="4:35" ht="23.25" x14ac:dyDescent="0.55000000000000004">
      <c r="H51" s="124"/>
      <c r="P51" s="126"/>
    </row>
    <row r="52" spans="4:35" ht="23.25" x14ac:dyDescent="0.55000000000000004">
      <c r="H52" s="124"/>
      <c r="P52" s="126"/>
    </row>
    <row r="53" spans="4:35" ht="24" x14ac:dyDescent="0.55000000000000004">
      <c r="D53"/>
      <c r="P53" s="126"/>
    </row>
    <row r="54" spans="4:35" ht="24" x14ac:dyDescent="0.55000000000000004">
      <c r="D54"/>
      <c r="P54" s="126"/>
    </row>
    <row r="55" spans="4:35" ht="24" x14ac:dyDescent="0.55000000000000004">
      <c r="D55"/>
      <c r="P55" s="126"/>
    </row>
    <row r="56" spans="4:35" ht="24" x14ac:dyDescent="0.55000000000000004">
      <c r="D56"/>
      <c r="P56" s="126"/>
    </row>
    <row r="57" spans="4:35" ht="24" x14ac:dyDescent="0.55000000000000004">
      <c r="D57"/>
      <c r="P57" s="126"/>
    </row>
    <row r="58" spans="4:35" ht="24" x14ac:dyDescent="0.55000000000000004">
      <c r="D58"/>
      <c r="P58" s="126"/>
    </row>
    <row r="59" spans="4:35" ht="24" x14ac:dyDescent="0.55000000000000004">
      <c r="D59"/>
      <c r="P59" s="126"/>
    </row>
    <row r="60" spans="4:35" ht="24" x14ac:dyDescent="0.55000000000000004">
      <c r="D60"/>
      <c r="P60" s="126"/>
    </row>
    <row r="61" spans="4:35" ht="24" x14ac:dyDescent="0.55000000000000004">
      <c r="D61"/>
      <c r="P61" s="126"/>
    </row>
    <row r="62" spans="4:35" ht="24" x14ac:dyDescent="0.55000000000000004">
      <c r="D62"/>
      <c r="P62" s="126"/>
    </row>
    <row r="63" spans="4:35" ht="24" x14ac:dyDescent="0.55000000000000004">
      <c r="D63"/>
      <c r="P63" s="126"/>
    </row>
    <row r="64" spans="4:35" ht="24" x14ac:dyDescent="0.55000000000000004">
      <c r="D64"/>
      <c r="P64" s="126"/>
    </row>
    <row r="65" spans="4:16" ht="24" x14ac:dyDescent="0.55000000000000004">
      <c r="D65"/>
      <c r="P65" s="126"/>
    </row>
    <row r="66" spans="4:16" ht="24" x14ac:dyDescent="0.55000000000000004">
      <c r="D66"/>
      <c r="P66" s="126"/>
    </row>
    <row r="67" spans="4:16" ht="24" x14ac:dyDescent="0.55000000000000004">
      <c r="D67"/>
      <c r="P67" s="126"/>
    </row>
    <row r="68" spans="4:16" ht="24" x14ac:dyDescent="0.55000000000000004">
      <c r="D68"/>
      <c r="P68" s="126"/>
    </row>
    <row r="69" spans="4:16" ht="24" x14ac:dyDescent="0.55000000000000004">
      <c r="D69"/>
    </row>
    <row r="70" spans="4:16" ht="24" x14ac:dyDescent="0.55000000000000004">
      <c r="D70"/>
    </row>
    <row r="71" spans="4:16" ht="24" x14ac:dyDescent="0.55000000000000004">
      <c r="D71"/>
    </row>
    <row r="72" spans="4:16" ht="24" x14ac:dyDescent="0.55000000000000004">
      <c r="D72"/>
    </row>
    <row r="73" spans="4:16" ht="24" x14ac:dyDescent="0.55000000000000004">
      <c r="D73"/>
    </row>
    <row r="74" spans="4:16" ht="24" x14ac:dyDescent="0.55000000000000004">
      <c r="D74"/>
    </row>
    <row r="75" spans="4:16" ht="24" x14ac:dyDescent="0.55000000000000004">
      <c r="D75"/>
    </row>
    <row r="76" spans="4:16" ht="24" x14ac:dyDescent="0.55000000000000004">
      <c r="D76"/>
    </row>
    <row r="77" spans="4:16" ht="24" x14ac:dyDescent="0.55000000000000004">
      <c r="D77"/>
    </row>
    <row r="78" spans="4:16" ht="24" x14ac:dyDescent="0.55000000000000004">
      <c r="D78"/>
    </row>
    <row r="79" spans="4:16" ht="24" x14ac:dyDescent="0.55000000000000004">
      <c r="D79"/>
    </row>
    <row r="80" spans="4:16" ht="24" x14ac:dyDescent="0.55000000000000004">
      <c r="D80"/>
    </row>
    <row r="81" spans="4:4" ht="24" x14ac:dyDescent="0.55000000000000004">
      <c r="D81"/>
    </row>
    <row r="82" spans="4:4" ht="24" x14ac:dyDescent="0.55000000000000004">
      <c r="D82"/>
    </row>
    <row r="83" spans="4:4" ht="24" x14ac:dyDescent="0.55000000000000004">
      <c r="D83"/>
    </row>
    <row r="84" spans="4:4" ht="24" x14ac:dyDescent="0.55000000000000004">
      <c r="D84"/>
    </row>
    <row r="85" spans="4:4" ht="24" x14ac:dyDescent="0.55000000000000004">
      <c r="D85"/>
    </row>
    <row r="86" spans="4:4" ht="24" x14ac:dyDescent="0.55000000000000004">
      <c r="D86"/>
    </row>
    <row r="87" spans="4:4" ht="24" x14ac:dyDescent="0.55000000000000004">
      <c r="D87"/>
    </row>
    <row r="88" spans="4:4" ht="24" x14ac:dyDescent="0.55000000000000004">
      <c r="D88"/>
    </row>
    <row r="89" spans="4:4" ht="24" x14ac:dyDescent="0.55000000000000004">
      <c r="D89"/>
    </row>
    <row r="90" spans="4:4" ht="24" x14ac:dyDescent="0.55000000000000004">
      <c r="D90"/>
    </row>
    <row r="91" spans="4:4" ht="24" x14ac:dyDescent="0.55000000000000004">
      <c r="D91"/>
    </row>
    <row r="92" spans="4:4" ht="24" x14ac:dyDescent="0.55000000000000004">
      <c r="D92"/>
    </row>
    <row r="93" spans="4:4" ht="24" x14ac:dyDescent="0.55000000000000004">
      <c r="D93"/>
    </row>
    <row r="94" spans="4:4" ht="24" x14ac:dyDescent="0.55000000000000004">
      <c r="D94"/>
    </row>
    <row r="95" spans="4:4" ht="24" x14ac:dyDescent="0.55000000000000004">
      <c r="D95"/>
    </row>
    <row r="96" spans="4:4" ht="24" x14ac:dyDescent="0.55000000000000004">
      <c r="D96"/>
    </row>
    <row r="97" spans="4:4" ht="24" x14ac:dyDescent="0.55000000000000004">
      <c r="D97"/>
    </row>
    <row r="98" spans="4:4" ht="24" x14ac:dyDescent="0.55000000000000004">
      <c r="D98"/>
    </row>
    <row r="99" spans="4:4" ht="24" x14ac:dyDescent="0.55000000000000004">
      <c r="D99"/>
    </row>
    <row r="100" spans="4:4" ht="24" x14ac:dyDescent="0.55000000000000004">
      <c r="D100"/>
    </row>
    <row r="101" spans="4:4" ht="24" x14ac:dyDescent="0.55000000000000004">
      <c r="D101"/>
    </row>
    <row r="102" spans="4:4" ht="24" x14ac:dyDescent="0.55000000000000004">
      <c r="D102"/>
    </row>
    <row r="103" spans="4:4" ht="24" x14ac:dyDescent="0.55000000000000004">
      <c r="D103"/>
    </row>
    <row r="104" spans="4:4" ht="24" x14ac:dyDescent="0.55000000000000004">
      <c r="D104"/>
    </row>
    <row r="105" spans="4:4" ht="24" x14ac:dyDescent="0.55000000000000004">
      <c r="D105"/>
    </row>
    <row r="106" spans="4:4" ht="24" x14ac:dyDescent="0.55000000000000004">
      <c r="D106"/>
    </row>
    <row r="107" spans="4:4" ht="24" x14ac:dyDescent="0.55000000000000004">
      <c r="D107"/>
    </row>
    <row r="108" spans="4:4" ht="24" x14ac:dyDescent="0.55000000000000004">
      <c r="D108"/>
    </row>
    <row r="109" spans="4:4" ht="24" x14ac:dyDescent="0.55000000000000004">
      <c r="D109"/>
    </row>
    <row r="110" spans="4:4" ht="24" x14ac:dyDescent="0.55000000000000004">
      <c r="D110"/>
    </row>
    <row r="111" spans="4:4" ht="24" x14ac:dyDescent="0.55000000000000004">
      <c r="D111"/>
    </row>
    <row r="112" spans="4:4" ht="24" x14ac:dyDescent="0.55000000000000004">
      <c r="D112"/>
    </row>
    <row r="113" spans="4:4" ht="24" x14ac:dyDescent="0.55000000000000004">
      <c r="D113"/>
    </row>
    <row r="114" spans="4:4" ht="24" x14ac:dyDescent="0.55000000000000004">
      <c r="D114"/>
    </row>
    <row r="115" spans="4:4" ht="24" x14ac:dyDescent="0.55000000000000004">
      <c r="D115"/>
    </row>
    <row r="116" spans="4:4" ht="24" x14ac:dyDescent="0.55000000000000004">
      <c r="D116"/>
    </row>
    <row r="117" spans="4:4" ht="24" x14ac:dyDescent="0.55000000000000004">
      <c r="D117"/>
    </row>
    <row r="118" spans="4:4" ht="24" x14ac:dyDescent="0.55000000000000004">
      <c r="D118"/>
    </row>
    <row r="119" spans="4:4" ht="24" x14ac:dyDescent="0.55000000000000004">
      <c r="D119"/>
    </row>
    <row r="120" spans="4:4" ht="24" x14ac:dyDescent="0.55000000000000004">
      <c r="D120"/>
    </row>
    <row r="121" spans="4:4" ht="24" x14ac:dyDescent="0.55000000000000004">
      <c r="D121"/>
    </row>
    <row r="122" spans="4:4" ht="24" x14ac:dyDescent="0.55000000000000004">
      <c r="D122"/>
    </row>
    <row r="123" spans="4:4" ht="24" x14ac:dyDescent="0.55000000000000004">
      <c r="D123"/>
    </row>
    <row r="124" spans="4:4" ht="24" x14ac:dyDescent="0.55000000000000004">
      <c r="D124"/>
    </row>
    <row r="125" spans="4:4" ht="24" x14ac:dyDescent="0.55000000000000004">
      <c r="D125"/>
    </row>
    <row r="126" spans="4:4" ht="24" x14ac:dyDescent="0.55000000000000004">
      <c r="D126"/>
    </row>
    <row r="127" spans="4:4" ht="24" x14ac:dyDescent="0.55000000000000004">
      <c r="D127"/>
    </row>
    <row r="128" spans="4:4" ht="24" x14ac:dyDescent="0.55000000000000004">
      <c r="D128"/>
    </row>
    <row r="129" spans="4:4" ht="24" x14ac:dyDescent="0.55000000000000004">
      <c r="D129"/>
    </row>
    <row r="130" spans="4:4" ht="24" x14ac:dyDescent="0.55000000000000004">
      <c r="D130"/>
    </row>
    <row r="131" spans="4:4" ht="24" x14ac:dyDescent="0.55000000000000004">
      <c r="D131"/>
    </row>
    <row r="132" spans="4:4" ht="24" x14ac:dyDescent="0.55000000000000004">
      <c r="D132"/>
    </row>
    <row r="133" spans="4:4" ht="24" x14ac:dyDescent="0.55000000000000004">
      <c r="D133"/>
    </row>
    <row r="134" spans="4:4" ht="24" x14ac:dyDescent="0.55000000000000004">
      <c r="D134"/>
    </row>
    <row r="135" spans="4:4" ht="24" x14ac:dyDescent="0.55000000000000004">
      <c r="D135"/>
    </row>
    <row r="136" spans="4:4" ht="24" x14ac:dyDescent="0.55000000000000004">
      <c r="D136"/>
    </row>
    <row r="137" spans="4:4" ht="24" x14ac:dyDescent="0.55000000000000004">
      <c r="D137"/>
    </row>
    <row r="138" spans="4:4" ht="24" x14ac:dyDescent="0.55000000000000004">
      <c r="D138"/>
    </row>
    <row r="139" spans="4:4" ht="24" x14ac:dyDescent="0.55000000000000004">
      <c r="D139"/>
    </row>
    <row r="140" spans="4:4" ht="24" x14ac:dyDescent="0.55000000000000004">
      <c r="D140"/>
    </row>
    <row r="141" spans="4:4" ht="24" x14ac:dyDescent="0.55000000000000004">
      <c r="D141"/>
    </row>
    <row r="142" spans="4:4" ht="24" x14ac:dyDescent="0.55000000000000004">
      <c r="D142"/>
    </row>
    <row r="143" spans="4:4" ht="24" x14ac:dyDescent="0.55000000000000004">
      <c r="D143"/>
    </row>
    <row r="144" spans="4:4" ht="24" x14ac:dyDescent="0.55000000000000004">
      <c r="D144"/>
    </row>
    <row r="145" spans="4:4" ht="24" x14ac:dyDescent="0.55000000000000004">
      <c r="D145"/>
    </row>
    <row r="146" spans="4:4" ht="24" x14ac:dyDescent="0.55000000000000004">
      <c r="D146"/>
    </row>
    <row r="147" spans="4:4" ht="24" x14ac:dyDescent="0.55000000000000004">
      <c r="D147"/>
    </row>
    <row r="148" spans="4:4" ht="24" x14ac:dyDescent="0.55000000000000004">
      <c r="D148"/>
    </row>
    <row r="149" spans="4:4" ht="24" x14ac:dyDescent="0.55000000000000004">
      <c r="D149"/>
    </row>
    <row r="150" spans="4:4" ht="24" x14ac:dyDescent="0.55000000000000004">
      <c r="D150"/>
    </row>
    <row r="151" spans="4:4" ht="24" x14ac:dyDescent="0.55000000000000004">
      <c r="D151"/>
    </row>
    <row r="152" spans="4:4" ht="24" x14ac:dyDescent="0.55000000000000004">
      <c r="D152"/>
    </row>
    <row r="153" spans="4:4" ht="24" x14ac:dyDescent="0.55000000000000004">
      <c r="D153"/>
    </row>
    <row r="154" spans="4:4" ht="24" x14ac:dyDescent="0.55000000000000004">
      <c r="D154"/>
    </row>
    <row r="155" spans="4:4" ht="24" x14ac:dyDescent="0.55000000000000004">
      <c r="D155"/>
    </row>
    <row r="156" spans="4:4" ht="24" x14ac:dyDescent="0.55000000000000004">
      <c r="D156"/>
    </row>
    <row r="157" spans="4:4" ht="24" x14ac:dyDescent="0.55000000000000004">
      <c r="D157"/>
    </row>
    <row r="158" spans="4:4" ht="24" x14ac:dyDescent="0.55000000000000004">
      <c r="D158"/>
    </row>
    <row r="159" spans="4:4" ht="24" x14ac:dyDescent="0.55000000000000004">
      <c r="D159"/>
    </row>
    <row r="160" spans="4:4" ht="24" x14ac:dyDescent="0.55000000000000004">
      <c r="D160"/>
    </row>
    <row r="161" spans="4:4" ht="24" x14ac:dyDescent="0.55000000000000004">
      <c r="D161"/>
    </row>
    <row r="162" spans="4:4" ht="24" x14ac:dyDescent="0.55000000000000004">
      <c r="D162"/>
    </row>
    <row r="163" spans="4:4" ht="24" x14ac:dyDescent="0.55000000000000004">
      <c r="D163"/>
    </row>
    <row r="164" spans="4:4" ht="24" x14ac:dyDescent="0.55000000000000004">
      <c r="D164"/>
    </row>
    <row r="165" spans="4:4" ht="24" x14ac:dyDescent="0.55000000000000004">
      <c r="D165"/>
    </row>
    <row r="166" spans="4:4" ht="24" x14ac:dyDescent="0.55000000000000004">
      <c r="D166"/>
    </row>
    <row r="167" spans="4:4" ht="24" x14ac:dyDescent="0.55000000000000004">
      <c r="D167"/>
    </row>
    <row r="168" spans="4:4" ht="24" x14ac:dyDescent="0.55000000000000004">
      <c r="D168"/>
    </row>
    <row r="169" spans="4:4" ht="24" x14ac:dyDescent="0.55000000000000004">
      <c r="D169"/>
    </row>
    <row r="170" spans="4:4" ht="24" x14ac:dyDescent="0.55000000000000004">
      <c r="D170"/>
    </row>
    <row r="171" spans="4:4" ht="24" x14ac:dyDescent="0.55000000000000004">
      <c r="D171"/>
    </row>
    <row r="172" spans="4:4" ht="24" x14ac:dyDescent="0.55000000000000004">
      <c r="D172"/>
    </row>
    <row r="173" spans="4:4" ht="24" x14ac:dyDescent="0.55000000000000004">
      <c r="D173"/>
    </row>
    <row r="174" spans="4:4" ht="24" x14ac:dyDescent="0.55000000000000004">
      <c r="D174"/>
    </row>
    <row r="175" spans="4:4" ht="24" x14ac:dyDescent="0.55000000000000004">
      <c r="D175"/>
    </row>
    <row r="176" spans="4:4" ht="24" x14ac:dyDescent="0.55000000000000004">
      <c r="D176"/>
    </row>
    <row r="177" spans="4:4" ht="24" x14ac:dyDescent="0.55000000000000004">
      <c r="D177"/>
    </row>
    <row r="178" spans="4:4" ht="24" x14ac:dyDescent="0.55000000000000004">
      <c r="D178"/>
    </row>
    <row r="179" spans="4:4" ht="24" x14ac:dyDescent="0.55000000000000004">
      <c r="D179"/>
    </row>
    <row r="180" spans="4:4" ht="24" x14ac:dyDescent="0.55000000000000004">
      <c r="D180"/>
    </row>
    <row r="181" spans="4:4" ht="24" x14ac:dyDescent="0.55000000000000004">
      <c r="D181"/>
    </row>
    <row r="182" spans="4:4" ht="24" x14ac:dyDescent="0.55000000000000004">
      <c r="D182"/>
    </row>
    <row r="183" spans="4:4" ht="24" x14ac:dyDescent="0.55000000000000004">
      <c r="D183"/>
    </row>
    <row r="184" spans="4:4" ht="24" x14ac:dyDescent="0.55000000000000004">
      <c r="D184"/>
    </row>
    <row r="185" spans="4:4" ht="24" x14ac:dyDescent="0.55000000000000004">
      <c r="D185"/>
    </row>
    <row r="186" spans="4:4" ht="24" x14ac:dyDescent="0.55000000000000004">
      <c r="D186"/>
    </row>
    <row r="187" spans="4:4" ht="24" x14ac:dyDescent="0.55000000000000004">
      <c r="D187"/>
    </row>
    <row r="188" spans="4:4" ht="24" x14ac:dyDescent="0.55000000000000004">
      <c r="D188"/>
    </row>
    <row r="189" spans="4:4" ht="24" x14ac:dyDescent="0.55000000000000004">
      <c r="D189"/>
    </row>
    <row r="190" spans="4:4" ht="24" x14ac:dyDescent="0.55000000000000004">
      <c r="D190"/>
    </row>
    <row r="191" spans="4:4" ht="24" x14ac:dyDescent="0.55000000000000004">
      <c r="D191"/>
    </row>
    <row r="192" spans="4:4" ht="24" x14ac:dyDescent="0.55000000000000004">
      <c r="D192"/>
    </row>
    <row r="193" spans="4:4" ht="24" x14ac:dyDescent="0.55000000000000004">
      <c r="D193"/>
    </row>
    <row r="194" spans="4:4" ht="24" x14ac:dyDescent="0.55000000000000004">
      <c r="D194"/>
    </row>
    <row r="195" spans="4:4" ht="24" x14ac:dyDescent="0.55000000000000004">
      <c r="D195"/>
    </row>
    <row r="196" spans="4:4" ht="24" x14ac:dyDescent="0.55000000000000004">
      <c r="D196"/>
    </row>
    <row r="197" spans="4:4" ht="24" x14ac:dyDescent="0.55000000000000004">
      <c r="D197"/>
    </row>
    <row r="198" spans="4:4" ht="24" x14ac:dyDescent="0.55000000000000004">
      <c r="D198"/>
    </row>
    <row r="199" spans="4:4" ht="24" x14ac:dyDescent="0.55000000000000004">
      <c r="D199"/>
    </row>
    <row r="200" spans="4:4" ht="24" x14ac:dyDescent="0.55000000000000004">
      <c r="D200"/>
    </row>
    <row r="201" spans="4:4" ht="24" x14ac:dyDescent="0.55000000000000004">
      <c r="D201"/>
    </row>
    <row r="202" spans="4:4" ht="24" x14ac:dyDescent="0.55000000000000004">
      <c r="D202"/>
    </row>
    <row r="203" spans="4:4" ht="24" x14ac:dyDescent="0.55000000000000004">
      <c r="D203"/>
    </row>
  </sheetData>
  <autoFilter ref="A7:AK53" xr:uid="{00000000-0009-0000-0000-000000000000}"/>
  <mergeCells count="11">
    <mergeCell ref="X3:Y3"/>
    <mergeCell ref="AC4:AD4"/>
    <mergeCell ref="AG4:AH4"/>
    <mergeCell ref="E1:I1"/>
    <mergeCell ref="A2:A4"/>
    <mergeCell ref="B2:B4"/>
    <mergeCell ref="C2:C4"/>
    <mergeCell ref="D2:D4"/>
    <mergeCell ref="E2:G2"/>
    <mergeCell ref="I2:I4"/>
    <mergeCell ref="H3:H4"/>
  </mergeCells>
  <phoneticPr fontId="28" type="noConversion"/>
  <conditionalFormatting sqref="AE1:AE3 AE6:AE1048576">
    <cfRule type="cellIs" dxfId="9" priority="7" operator="greaterThan">
      <formula>0</formula>
    </cfRule>
    <cfRule type="cellIs" dxfId="8" priority="8" operator="greaterThan">
      <formula>46</formula>
    </cfRule>
    <cfRule type="cellIs" dxfId="7" priority="9" operator="greaterThan">
      <formula>0</formula>
    </cfRule>
  </conditionalFormatting>
  <conditionalFormatting sqref="B1:B27 B30:B1048576">
    <cfRule type="duplicateValues" dxfId="6" priority="10"/>
  </conditionalFormatting>
  <conditionalFormatting sqref="AE5">
    <cfRule type="cellIs" dxfId="5" priority="4" operator="greaterThan">
      <formula>0</formula>
    </cfRule>
    <cfRule type="cellIs" dxfId="4" priority="5" operator="greaterThan">
      <formula>46</formula>
    </cfRule>
    <cfRule type="cellIs" dxfId="3" priority="6" operator="greaterThan">
      <formula>0</formula>
    </cfRule>
  </conditionalFormatting>
  <conditionalFormatting sqref="AE4">
    <cfRule type="cellIs" dxfId="2" priority="1" operator="greaterThan">
      <formula>0</formula>
    </cfRule>
    <cfRule type="cellIs" dxfId="1" priority="2" operator="greaterThan">
      <formula>46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S45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4" sqref="S14"/>
    </sheetView>
  </sheetViews>
  <sheetFormatPr defaultColWidth="8.85546875" defaultRowHeight="28.5" x14ac:dyDescent="0.75"/>
  <cols>
    <col min="1" max="1" width="20.28515625" style="122" customWidth="1"/>
    <col min="2" max="2" width="10.7109375" style="122" customWidth="1"/>
    <col min="3" max="3" width="2.7109375" style="155" customWidth="1"/>
    <col min="4" max="4" width="19.7109375" style="155" customWidth="1"/>
    <col min="5" max="5" width="2.42578125" style="155" customWidth="1"/>
    <col min="6" max="8" width="19.7109375" style="155" customWidth="1"/>
    <col min="9" max="9" width="2.42578125" style="155" customWidth="1"/>
    <col min="10" max="10" width="19.7109375" style="156" customWidth="1"/>
    <col min="11" max="11" width="12.28515625" style="156" bestFit="1" customWidth="1"/>
    <col min="12" max="12" width="2.7109375" style="155" customWidth="1"/>
    <col min="13" max="13" width="19.7109375" style="167" customWidth="1"/>
    <col min="14" max="14" width="2" style="155" customWidth="1"/>
    <col min="15" max="16" width="19.7109375" style="155" customWidth="1"/>
    <col min="17" max="17" width="2.140625" style="155" customWidth="1"/>
    <col min="18" max="19" width="19.7109375" style="155" customWidth="1"/>
    <col min="20" max="16384" width="8.85546875" style="155"/>
  </cols>
  <sheetData>
    <row r="1" spans="1:19" x14ac:dyDescent="0.75">
      <c r="A1" s="128" t="s">
        <v>76</v>
      </c>
      <c r="B1" s="129"/>
      <c r="C1" s="154"/>
      <c r="E1" s="154"/>
      <c r="I1" s="154"/>
    </row>
    <row r="2" spans="1:19" ht="29.25" thickBot="1" x14ac:dyDescent="0.8">
      <c r="A2" s="130"/>
      <c r="B2" s="131"/>
      <c r="C2" s="154"/>
      <c r="E2" s="154"/>
      <c r="I2" s="154"/>
    </row>
    <row r="3" spans="1:19" ht="29.25" thickBot="1" x14ac:dyDescent="0.8">
      <c r="A3" s="181" t="s">
        <v>0</v>
      </c>
      <c r="B3" s="195" t="s">
        <v>2</v>
      </c>
      <c r="R3" s="198" t="s">
        <v>65</v>
      </c>
      <c r="S3" s="199"/>
    </row>
    <row r="4" spans="1:19" ht="29.25" thickBot="1" x14ac:dyDescent="0.8">
      <c r="A4" s="182"/>
      <c r="B4" s="196"/>
      <c r="D4" s="169" t="s">
        <v>66</v>
      </c>
      <c r="E4" s="170"/>
      <c r="F4" s="169" t="s">
        <v>66</v>
      </c>
      <c r="G4" s="169" t="s">
        <v>67</v>
      </c>
      <c r="H4" s="170"/>
      <c r="I4" s="170"/>
      <c r="J4" s="171"/>
      <c r="K4" s="171"/>
      <c r="L4" s="170"/>
      <c r="M4" s="169" t="s">
        <v>66</v>
      </c>
      <c r="O4" s="200" t="s">
        <v>16</v>
      </c>
      <c r="P4" s="201"/>
      <c r="R4" s="202" t="s">
        <v>17</v>
      </c>
      <c r="S4" s="203"/>
    </row>
    <row r="5" spans="1:19" ht="40.15" customHeight="1" thickBot="1" x14ac:dyDescent="0.8">
      <c r="A5" s="183"/>
      <c r="B5" s="197"/>
      <c r="D5" s="163" t="s">
        <v>38</v>
      </c>
      <c r="E5" s="164"/>
      <c r="F5" s="165" t="s">
        <v>59</v>
      </c>
      <c r="G5" s="165" t="s">
        <v>60</v>
      </c>
      <c r="H5" s="165" t="s">
        <v>61</v>
      </c>
      <c r="I5" s="164"/>
      <c r="J5" s="166" t="s">
        <v>62</v>
      </c>
      <c r="K5" s="166"/>
      <c r="M5" s="17"/>
    </row>
    <row r="6" spans="1:19" ht="42.75" thickBot="1" x14ac:dyDescent="0.8">
      <c r="A6" s="24"/>
      <c r="B6" s="25"/>
      <c r="D6" s="133" t="s">
        <v>21</v>
      </c>
      <c r="F6" s="159" t="s">
        <v>14</v>
      </c>
      <c r="G6" s="159" t="s">
        <v>15</v>
      </c>
      <c r="H6" s="160" t="s">
        <v>58</v>
      </c>
      <c r="J6" s="161" t="s">
        <v>63</v>
      </c>
      <c r="K6" s="162"/>
      <c r="M6" s="35" t="s">
        <v>64</v>
      </c>
      <c r="O6" s="40" t="s">
        <v>34</v>
      </c>
      <c r="P6" s="40" t="s">
        <v>35</v>
      </c>
      <c r="R6" s="40" t="s">
        <v>34</v>
      </c>
      <c r="S6" s="40" t="s">
        <v>35</v>
      </c>
    </row>
    <row r="7" spans="1:19" x14ac:dyDescent="0.75">
      <c r="A7" s="45"/>
      <c r="B7" s="46"/>
      <c r="D7" s="132"/>
      <c r="F7" s="132"/>
      <c r="G7" s="132"/>
      <c r="H7" s="132"/>
      <c r="J7" s="145"/>
      <c r="K7" s="146"/>
      <c r="M7" s="157"/>
      <c r="O7" s="142"/>
      <c r="P7" s="142"/>
      <c r="R7" s="157"/>
      <c r="S7" s="157"/>
    </row>
    <row r="8" spans="1:19" x14ac:dyDescent="0.75">
      <c r="A8" s="62"/>
      <c r="B8" s="63"/>
      <c r="D8" s="48"/>
      <c r="F8" s="48"/>
      <c r="G8" s="48"/>
      <c r="H8" s="48"/>
      <c r="J8" s="147"/>
      <c r="K8" s="148"/>
      <c r="M8" s="134"/>
      <c r="O8" s="143"/>
      <c r="P8" s="143"/>
      <c r="R8" s="134"/>
      <c r="S8" s="134"/>
    </row>
    <row r="9" spans="1:19" x14ac:dyDescent="0.75">
      <c r="A9" s="62" t="s">
        <v>72</v>
      </c>
      <c r="B9" s="63">
        <v>5</v>
      </c>
      <c r="D9" s="135">
        <f>SUMIF('4072_Cutlot_Full'!$A:$A,$A9,'4072_Cutlot_Full'!L:L)</f>
        <v>2455847</v>
      </c>
      <c r="F9" s="135">
        <f>SUMIF('4072_Cutlot_Full'!$A:$A,$A9,'4072_Cutlot_Full'!X:X)</f>
        <v>1180949.4899999995</v>
      </c>
      <c r="G9" s="135">
        <f>SUMIF('4072_Cutlot_Full'!$A:$A,$A9,'4072_Cutlot_Full'!Y:Y)</f>
        <v>1231560</v>
      </c>
      <c r="H9" s="135">
        <f t="shared" ref="H9:H39" si="0">SUM(F9:G9)</f>
        <v>2412509.4899999993</v>
      </c>
      <c r="J9" s="72">
        <f t="shared" ref="J9:J39" si="1">+H9-D9</f>
        <v>-43337.510000000708</v>
      </c>
      <c r="K9" s="153" t="str">
        <f t="shared" ref="K9:K38" si="2">IF(M9&gt;=1,"บ้านโอนแล้ว",IF(J9&lt;0,"งบเพียงพอ","ต้องเพิ่มงบ"))</f>
        <v>บ้านโอนแล้ว</v>
      </c>
      <c r="M9" s="69">
        <f>SUMIF('4072_Cutlot_Full'!A:A,A9,'4072_Cutlot_Full'!AE:AE)</f>
        <v>2</v>
      </c>
      <c r="O9" s="69">
        <f t="shared" ref="O9:O40" si="3">IF($K9="งบเพียงพอ",0,IF($K9="บ้านโอนแล้ว",IF($J9&gt;0,IF($K9="บ้านโอนแล้ว",0),0),$J9))</f>
        <v>0</v>
      </c>
      <c r="P9" s="69">
        <f t="shared" ref="P9:P39" si="4">IF($K9="งบเพียงพอ",0,IF($K9="บ้านโอนแล้ว",IF(J9&gt;0,J9,0),0))</f>
        <v>0</v>
      </c>
      <c r="R9" s="69">
        <f t="shared" ref="R9:S39" si="5">+O9</f>
        <v>0</v>
      </c>
      <c r="S9" s="69">
        <f t="shared" si="5"/>
        <v>0</v>
      </c>
    </row>
    <row r="10" spans="1:19" x14ac:dyDescent="0.75">
      <c r="A10" s="62" t="s">
        <v>73</v>
      </c>
      <c r="B10" s="63">
        <v>5</v>
      </c>
      <c r="D10" s="135">
        <f>SUMIF('4072_Cutlot_Full'!$A:$A,$A10,'4072_Cutlot_Full'!L:L)</f>
        <v>2457310</v>
      </c>
      <c r="F10" s="135">
        <f>SUMIF('4072_Cutlot_Full'!$A:$A,$A10,'4072_Cutlot_Full'!X:X)</f>
        <v>1182169.8674999999</v>
      </c>
      <c r="G10" s="135">
        <f>SUMIF('4072_Cutlot_Full'!$A:$A,$A10,'4072_Cutlot_Full'!Y:Y)</f>
        <v>1231560</v>
      </c>
      <c r="H10" s="135">
        <f t="shared" si="0"/>
        <v>2413729.8674999997</v>
      </c>
      <c r="J10" s="72">
        <f t="shared" si="1"/>
        <v>-43580.132500000298</v>
      </c>
      <c r="K10" s="153" t="str">
        <f t="shared" si="2"/>
        <v>บ้านโอนแล้ว</v>
      </c>
      <c r="M10" s="69">
        <f>SUMIF('4072_Cutlot_Full'!A:A,A10,'4072_Cutlot_Full'!AE:AE)</f>
        <v>2</v>
      </c>
      <c r="O10" s="69">
        <f t="shared" si="3"/>
        <v>0</v>
      </c>
      <c r="P10" s="69">
        <f t="shared" si="4"/>
        <v>0</v>
      </c>
      <c r="R10" s="69">
        <f t="shared" si="5"/>
        <v>0</v>
      </c>
      <c r="S10" s="69">
        <f t="shared" si="5"/>
        <v>0</v>
      </c>
    </row>
    <row r="11" spans="1:19" x14ac:dyDescent="0.75">
      <c r="A11" s="62" t="s">
        <v>74</v>
      </c>
      <c r="B11" s="63">
        <v>8</v>
      </c>
      <c r="D11" s="135">
        <f>SUMIF('4072_Cutlot_Full'!$A:$A,$A11,'4072_Cutlot_Full'!L:L)</f>
        <v>2454661</v>
      </c>
      <c r="F11" s="135">
        <f>SUMIF('4072_Cutlot_Full'!$A:$A,$A11,'4072_Cutlot_Full'!X:X)</f>
        <v>1179897.9194000002</v>
      </c>
      <c r="G11" s="135">
        <f>SUMIF('4072_Cutlot_Full'!$A:$A,$A11,'4072_Cutlot_Full'!Y:Y)</f>
        <v>1231560</v>
      </c>
      <c r="H11" s="135">
        <f t="shared" si="0"/>
        <v>2411457.9194</v>
      </c>
      <c r="J11" s="72">
        <f t="shared" si="1"/>
        <v>-43203.080599999987</v>
      </c>
      <c r="K11" s="153" t="str">
        <f t="shared" si="2"/>
        <v>บ้านโอนแล้ว</v>
      </c>
      <c r="M11" s="69">
        <f>SUMIF('4072_Cutlot_Full'!A:A,A11,'4072_Cutlot_Full'!AE:AE)</f>
        <v>2</v>
      </c>
      <c r="O11" s="69">
        <f t="shared" si="3"/>
        <v>0</v>
      </c>
      <c r="P11" s="69">
        <f t="shared" si="4"/>
        <v>0</v>
      </c>
      <c r="R11" s="69">
        <f t="shared" si="5"/>
        <v>0</v>
      </c>
      <c r="S11" s="69">
        <f t="shared" si="5"/>
        <v>0</v>
      </c>
    </row>
    <row r="12" spans="1:19" x14ac:dyDescent="0.75">
      <c r="A12" s="62" t="s">
        <v>75</v>
      </c>
      <c r="B12" s="63">
        <v>8</v>
      </c>
      <c r="D12" s="135">
        <f>SUMIF('4072_Cutlot_Full'!$A:$A,$A12,'4072_Cutlot_Full'!L:L)</f>
        <v>2453728</v>
      </c>
      <c r="F12" s="135">
        <f>SUMIF('4072_Cutlot_Full'!$A:$A,$A12,'4072_Cutlot_Full'!X:X)</f>
        <v>1181448.4189999995</v>
      </c>
      <c r="G12" s="135">
        <f>SUMIF('4072_Cutlot_Full'!$A:$A,$A12,'4072_Cutlot_Full'!Y:Y)</f>
        <v>1231560</v>
      </c>
      <c r="H12" s="135">
        <f t="shared" si="0"/>
        <v>2413008.4189999998</v>
      </c>
      <c r="J12" s="72">
        <f t="shared" si="1"/>
        <v>-40719.581000000238</v>
      </c>
      <c r="K12" s="153" t="str">
        <f t="shared" si="2"/>
        <v>บ้านโอนแล้ว</v>
      </c>
      <c r="M12" s="69">
        <f>SUMIF('4072_Cutlot_Full'!A:A,A12,'4072_Cutlot_Full'!AE:AE)</f>
        <v>1</v>
      </c>
      <c r="O12" s="69">
        <f t="shared" si="3"/>
        <v>0</v>
      </c>
      <c r="P12" s="69">
        <f t="shared" si="4"/>
        <v>0</v>
      </c>
      <c r="R12" s="69">
        <f t="shared" si="5"/>
        <v>0</v>
      </c>
      <c r="S12" s="69">
        <f t="shared" si="5"/>
        <v>0</v>
      </c>
    </row>
    <row r="13" spans="1:19" x14ac:dyDescent="0.75">
      <c r="A13" s="62"/>
      <c r="B13" s="63"/>
      <c r="D13" s="135"/>
      <c r="F13" s="135"/>
      <c r="G13" s="135"/>
      <c r="H13" s="135"/>
      <c r="J13" s="72"/>
      <c r="K13" s="153"/>
      <c r="M13" s="69"/>
      <c r="O13" s="69"/>
      <c r="P13" s="69"/>
      <c r="R13" s="69"/>
      <c r="S13" s="69"/>
    </row>
    <row r="14" spans="1:19" x14ac:dyDescent="0.75">
      <c r="A14" s="62"/>
      <c r="B14" s="63"/>
      <c r="D14" s="135"/>
      <c r="F14" s="135"/>
      <c r="G14" s="135"/>
      <c r="H14" s="135"/>
      <c r="J14" s="72"/>
      <c r="K14" s="153"/>
      <c r="M14" s="69"/>
      <c r="O14" s="69"/>
      <c r="P14" s="69"/>
      <c r="R14" s="69"/>
      <c r="S14" s="69"/>
    </row>
    <row r="15" spans="1:19" x14ac:dyDescent="0.75">
      <c r="A15" s="62"/>
      <c r="B15" s="63"/>
      <c r="D15" s="135"/>
      <c r="F15" s="135"/>
      <c r="G15" s="135"/>
      <c r="H15" s="135"/>
      <c r="J15" s="72"/>
      <c r="K15" s="153"/>
      <c r="M15" s="69"/>
      <c r="O15" s="69"/>
      <c r="P15" s="69"/>
      <c r="R15" s="69"/>
      <c r="S15" s="69"/>
    </row>
    <row r="16" spans="1:19" x14ac:dyDescent="0.75">
      <c r="A16" s="62"/>
      <c r="B16" s="63"/>
      <c r="D16" s="135"/>
      <c r="F16" s="135"/>
      <c r="G16" s="135"/>
      <c r="H16" s="135"/>
      <c r="J16" s="72"/>
      <c r="K16" s="153"/>
      <c r="M16" s="69"/>
      <c r="O16" s="69"/>
      <c r="P16" s="69"/>
      <c r="R16" s="69"/>
      <c r="S16" s="69"/>
    </row>
    <row r="17" spans="1:19" x14ac:dyDescent="0.75">
      <c r="A17" s="62"/>
      <c r="B17" s="63"/>
      <c r="D17" s="135"/>
      <c r="F17" s="135"/>
      <c r="G17" s="135"/>
      <c r="H17" s="135"/>
      <c r="J17" s="72"/>
      <c r="K17" s="153"/>
      <c r="M17" s="69"/>
      <c r="O17" s="69"/>
      <c r="P17" s="69"/>
      <c r="R17" s="69"/>
      <c r="S17" s="69"/>
    </row>
    <row r="18" spans="1:19" x14ac:dyDescent="0.75">
      <c r="A18" s="62"/>
      <c r="B18" s="63"/>
      <c r="D18" s="135"/>
      <c r="F18" s="135"/>
      <c r="G18" s="135"/>
      <c r="H18" s="135"/>
      <c r="J18" s="72"/>
      <c r="K18" s="153"/>
      <c r="M18" s="69"/>
      <c r="O18" s="69"/>
      <c r="P18" s="69"/>
      <c r="R18" s="69"/>
      <c r="S18" s="69"/>
    </row>
    <row r="19" spans="1:19" x14ac:dyDescent="0.75">
      <c r="A19" s="62"/>
      <c r="B19" s="63"/>
      <c r="D19" s="135"/>
      <c r="F19" s="135"/>
      <c r="G19" s="135"/>
      <c r="H19" s="135"/>
      <c r="J19" s="72"/>
      <c r="K19" s="153"/>
      <c r="M19" s="69"/>
      <c r="O19" s="69"/>
      <c r="P19" s="69"/>
      <c r="R19" s="69"/>
      <c r="S19" s="69"/>
    </row>
    <row r="20" spans="1:19" x14ac:dyDescent="0.75">
      <c r="A20" s="62"/>
      <c r="B20" s="63"/>
      <c r="D20" s="135"/>
      <c r="F20" s="135"/>
      <c r="G20" s="135"/>
      <c r="H20" s="135"/>
      <c r="J20" s="72"/>
      <c r="K20" s="153"/>
      <c r="M20" s="69"/>
      <c r="O20" s="69"/>
      <c r="P20" s="69"/>
      <c r="R20" s="69"/>
      <c r="S20" s="69"/>
    </row>
    <row r="21" spans="1:19" x14ac:dyDescent="0.75">
      <c r="A21" s="62"/>
      <c r="B21" s="63"/>
      <c r="D21" s="135"/>
      <c r="F21" s="135"/>
      <c r="G21" s="135"/>
      <c r="H21" s="135"/>
      <c r="J21" s="72"/>
      <c r="K21" s="153"/>
      <c r="M21" s="69"/>
      <c r="O21" s="69"/>
      <c r="P21" s="69"/>
      <c r="R21" s="69"/>
      <c r="S21" s="69"/>
    </row>
    <row r="22" spans="1:19" x14ac:dyDescent="0.75">
      <c r="A22" s="62"/>
      <c r="B22" s="63"/>
      <c r="D22" s="135"/>
      <c r="F22" s="135"/>
      <c r="G22" s="135"/>
      <c r="H22" s="135"/>
      <c r="J22" s="72"/>
      <c r="K22" s="153"/>
      <c r="M22" s="69"/>
      <c r="O22" s="69"/>
      <c r="P22" s="69"/>
      <c r="R22" s="69"/>
      <c r="S22" s="69"/>
    </row>
    <row r="23" spans="1:19" x14ac:dyDescent="0.75">
      <c r="A23" s="62"/>
      <c r="B23" s="63"/>
      <c r="D23" s="135"/>
      <c r="F23" s="135"/>
      <c r="G23" s="135"/>
      <c r="H23" s="135"/>
      <c r="J23" s="72"/>
      <c r="K23" s="153"/>
      <c r="M23" s="69"/>
      <c r="O23" s="69"/>
      <c r="P23" s="69"/>
      <c r="R23" s="69"/>
      <c r="S23" s="69"/>
    </row>
    <row r="24" spans="1:19" x14ac:dyDescent="0.75">
      <c r="A24" s="62"/>
      <c r="B24" s="63"/>
      <c r="D24" s="135"/>
      <c r="F24" s="135"/>
      <c r="G24" s="135"/>
      <c r="H24" s="135"/>
      <c r="J24" s="72"/>
      <c r="K24" s="153"/>
      <c r="M24" s="69"/>
      <c r="O24" s="69"/>
      <c r="P24" s="69"/>
      <c r="R24" s="69"/>
      <c r="S24" s="69"/>
    </row>
    <row r="25" spans="1:19" x14ac:dyDescent="0.75">
      <c r="A25" s="62"/>
      <c r="B25" s="63"/>
      <c r="D25" s="135"/>
      <c r="F25" s="135"/>
      <c r="G25" s="135"/>
      <c r="H25" s="135"/>
      <c r="J25" s="72"/>
      <c r="K25" s="153"/>
      <c r="M25" s="69"/>
      <c r="O25" s="69"/>
      <c r="P25" s="69"/>
      <c r="R25" s="69"/>
      <c r="S25" s="69"/>
    </row>
    <row r="26" spans="1:19" x14ac:dyDescent="0.75">
      <c r="A26" s="62"/>
      <c r="B26" s="63"/>
      <c r="D26" s="135"/>
      <c r="F26" s="135"/>
      <c r="G26" s="135"/>
      <c r="H26" s="135"/>
      <c r="J26" s="72"/>
      <c r="K26" s="153"/>
      <c r="M26" s="69"/>
      <c r="O26" s="69"/>
      <c r="P26" s="69"/>
      <c r="R26" s="69"/>
      <c r="S26" s="69"/>
    </row>
    <row r="27" spans="1:19" x14ac:dyDescent="0.75">
      <c r="A27" s="62"/>
      <c r="B27" s="63"/>
      <c r="D27" s="135"/>
      <c r="F27" s="135"/>
      <c r="G27" s="135"/>
      <c r="H27" s="135"/>
      <c r="J27" s="72"/>
      <c r="K27" s="153"/>
      <c r="M27" s="69"/>
      <c r="O27" s="69"/>
      <c r="P27" s="69"/>
      <c r="R27" s="69"/>
      <c r="S27" s="69"/>
    </row>
    <row r="28" spans="1:19" x14ac:dyDescent="0.75">
      <c r="A28" s="62"/>
      <c r="B28" s="63"/>
      <c r="D28" s="135"/>
      <c r="F28" s="135"/>
      <c r="G28" s="135"/>
      <c r="H28" s="135"/>
      <c r="J28" s="72"/>
      <c r="K28" s="153"/>
      <c r="M28" s="69"/>
      <c r="O28" s="69"/>
      <c r="P28" s="69"/>
      <c r="R28" s="69"/>
      <c r="S28" s="69"/>
    </row>
    <row r="29" spans="1:19" x14ac:dyDescent="0.75">
      <c r="A29" s="62"/>
      <c r="B29" s="63"/>
      <c r="D29" s="135"/>
      <c r="F29" s="135"/>
      <c r="G29" s="135"/>
      <c r="H29" s="135"/>
      <c r="J29" s="72"/>
      <c r="K29" s="153"/>
      <c r="M29" s="69"/>
      <c r="O29" s="69"/>
      <c r="P29" s="69"/>
      <c r="R29" s="69"/>
      <c r="S29" s="69"/>
    </row>
    <row r="30" spans="1:19" x14ac:dyDescent="0.75">
      <c r="A30" s="62"/>
      <c r="B30" s="63"/>
      <c r="D30" s="135"/>
      <c r="F30" s="135"/>
      <c r="G30" s="135"/>
      <c r="H30" s="135"/>
      <c r="J30" s="72"/>
      <c r="K30" s="153"/>
      <c r="M30" s="69"/>
      <c r="O30" s="69"/>
      <c r="P30" s="69"/>
      <c r="R30" s="69"/>
      <c r="S30" s="69"/>
    </row>
    <row r="31" spans="1:19" x14ac:dyDescent="0.75">
      <c r="A31" s="62"/>
      <c r="B31" s="63"/>
      <c r="D31" s="135"/>
      <c r="F31" s="135"/>
      <c r="G31" s="135"/>
      <c r="H31" s="135"/>
      <c r="J31" s="72"/>
      <c r="K31" s="153"/>
      <c r="M31" s="69"/>
      <c r="O31" s="69"/>
      <c r="P31" s="69"/>
      <c r="R31" s="69"/>
      <c r="S31" s="69"/>
    </row>
    <row r="32" spans="1:19" x14ac:dyDescent="0.75">
      <c r="A32" s="62"/>
      <c r="B32" s="63"/>
      <c r="D32" s="135"/>
      <c r="F32" s="135"/>
      <c r="G32" s="135"/>
      <c r="H32" s="135"/>
      <c r="J32" s="72"/>
      <c r="K32" s="153"/>
      <c r="M32" s="69"/>
      <c r="O32" s="69"/>
      <c r="P32" s="69"/>
      <c r="R32" s="69"/>
      <c r="S32" s="69"/>
    </row>
    <row r="33" spans="1:19" x14ac:dyDescent="0.75">
      <c r="A33" s="62"/>
      <c r="B33" s="63"/>
      <c r="D33" s="135"/>
      <c r="F33" s="135"/>
      <c r="G33" s="135"/>
      <c r="H33" s="135"/>
      <c r="J33" s="72"/>
      <c r="K33" s="153"/>
      <c r="M33" s="69"/>
      <c r="O33" s="69"/>
      <c r="P33" s="69"/>
      <c r="R33" s="69"/>
      <c r="S33" s="69"/>
    </row>
    <row r="34" spans="1:19" x14ac:dyDescent="0.75">
      <c r="A34" s="62"/>
      <c r="B34" s="63"/>
      <c r="D34" s="135"/>
      <c r="F34" s="135"/>
      <c r="G34" s="135"/>
      <c r="H34" s="135"/>
      <c r="J34" s="72"/>
      <c r="K34" s="153"/>
      <c r="M34" s="69"/>
      <c r="O34" s="69"/>
      <c r="P34" s="69"/>
      <c r="R34" s="69"/>
      <c r="S34" s="69"/>
    </row>
    <row r="35" spans="1:19" x14ac:dyDescent="0.75">
      <c r="A35" s="62"/>
      <c r="B35" s="63"/>
      <c r="D35" s="135"/>
      <c r="F35" s="135"/>
      <c r="G35" s="135"/>
      <c r="H35" s="135"/>
      <c r="J35" s="72"/>
      <c r="K35" s="153"/>
      <c r="M35" s="69"/>
      <c r="O35" s="69"/>
      <c r="P35" s="69"/>
      <c r="R35" s="69"/>
      <c r="S35" s="69"/>
    </row>
    <row r="36" spans="1:19" x14ac:dyDescent="0.75">
      <c r="A36" s="62"/>
      <c r="B36" s="63"/>
      <c r="D36" s="135"/>
      <c r="F36" s="135"/>
      <c r="G36" s="135"/>
      <c r="H36" s="135"/>
      <c r="J36" s="72"/>
      <c r="K36" s="153"/>
      <c r="M36" s="69"/>
      <c r="O36" s="69"/>
      <c r="P36" s="69"/>
      <c r="R36" s="69"/>
      <c r="S36" s="69"/>
    </row>
    <row r="37" spans="1:19" x14ac:dyDescent="0.75">
      <c r="A37" s="62"/>
      <c r="B37" s="63"/>
      <c r="D37" s="135"/>
      <c r="F37" s="135"/>
      <c r="G37" s="135"/>
      <c r="H37" s="135"/>
      <c r="J37" s="72"/>
      <c r="K37" s="153"/>
      <c r="M37" s="69"/>
      <c r="O37" s="69"/>
      <c r="P37" s="69"/>
      <c r="R37" s="69"/>
      <c r="S37" s="69"/>
    </row>
    <row r="38" spans="1:19" x14ac:dyDescent="0.75">
      <c r="A38" s="62"/>
      <c r="B38" s="63"/>
      <c r="D38" s="135"/>
      <c r="F38" s="135"/>
      <c r="G38" s="135"/>
      <c r="H38" s="135"/>
      <c r="J38" s="72"/>
      <c r="K38" s="153"/>
      <c r="M38" s="69"/>
      <c r="O38" s="69"/>
      <c r="P38" s="69"/>
      <c r="R38" s="69"/>
      <c r="S38" s="69"/>
    </row>
    <row r="39" spans="1:19" x14ac:dyDescent="0.75">
      <c r="A39" s="62"/>
      <c r="B39" s="63"/>
      <c r="D39" s="135"/>
      <c r="F39" s="135"/>
      <c r="G39" s="135"/>
      <c r="H39" s="135"/>
      <c r="J39" s="72"/>
      <c r="K39" s="153"/>
      <c r="M39" s="69"/>
      <c r="O39" s="69"/>
      <c r="P39" s="69"/>
      <c r="R39" s="69"/>
      <c r="S39" s="69"/>
    </row>
    <row r="40" spans="1:19" x14ac:dyDescent="0.75">
      <c r="A40" s="62"/>
      <c r="B40" s="63"/>
      <c r="D40" s="135"/>
      <c r="F40" s="135"/>
      <c r="G40" s="135"/>
      <c r="H40" s="135"/>
      <c r="J40" s="72"/>
      <c r="K40" s="153"/>
      <c r="M40" s="69"/>
      <c r="O40" s="69"/>
      <c r="P40" s="69"/>
      <c r="R40" s="69"/>
      <c r="S40" s="69"/>
    </row>
    <row r="41" spans="1:19" x14ac:dyDescent="0.75">
      <c r="A41" s="62"/>
      <c r="B41" s="63"/>
      <c r="D41" s="48"/>
      <c r="F41" s="48"/>
      <c r="G41" s="48"/>
      <c r="H41" s="48"/>
      <c r="J41" s="147"/>
      <c r="K41" s="148"/>
      <c r="M41" s="134"/>
      <c r="O41" s="143"/>
      <c r="P41" s="143"/>
      <c r="R41" s="134"/>
      <c r="S41" s="134"/>
    </row>
    <row r="42" spans="1:19" x14ac:dyDescent="0.75">
      <c r="A42" s="105"/>
      <c r="B42" s="106"/>
      <c r="D42" s="48"/>
      <c r="F42" s="48"/>
      <c r="G42" s="48"/>
      <c r="H42" s="48"/>
      <c r="J42" s="147"/>
      <c r="K42" s="148"/>
      <c r="M42" s="134"/>
      <c r="O42" s="143"/>
      <c r="P42" s="143"/>
      <c r="R42" s="134"/>
      <c r="S42" s="134"/>
    </row>
    <row r="43" spans="1:19" x14ac:dyDescent="0.75">
      <c r="A43" s="105"/>
      <c r="B43" s="106"/>
      <c r="D43" s="48"/>
      <c r="F43" s="48"/>
      <c r="G43" s="48"/>
      <c r="H43" s="48"/>
      <c r="J43" s="147"/>
      <c r="K43" s="148"/>
      <c r="M43" s="134"/>
      <c r="O43" s="143"/>
      <c r="P43" s="143"/>
      <c r="R43" s="134"/>
      <c r="S43" s="134"/>
    </row>
    <row r="44" spans="1:19" ht="29.25" thickBot="1" x14ac:dyDescent="0.8">
      <c r="A44" s="138"/>
      <c r="B44" s="139"/>
      <c r="D44" s="136"/>
      <c r="F44" s="136"/>
      <c r="G44" s="136"/>
      <c r="H44" s="136"/>
      <c r="J44" s="149"/>
      <c r="K44" s="150"/>
      <c r="M44" s="158"/>
      <c r="O44" s="144"/>
      <c r="P44" s="144"/>
      <c r="R44" s="158"/>
      <c r="S44" s="158"/>
    </row>
    <row r="45" spans="1:19" ht="29.25" thickBot="1" x14ac:dyDescent="0.8">
      <c r="A45" s="140"/>
      <c r="B45" s="141">
        <f>SUM(B9:B44)</f>
        <v>26</v>
      </c>
      <c r="D45" s="137">
        <f>SUM(D9:D44)</f>
        <v>9821546</v>
      </c>
      <c r="F45" s="137">
        <f>SUM(F9:F44)</f>
        <v>4724465.6958999997</v>
      </c>
      <c r="G45" s="137">
        <f>SUM(G9:G44)</f>
        <v>4926240</v>
      </c>
      <c r="H45" s="137">
        <f>SUM(H9:H44)</f>
        <v>9650705.6958999988</v>
      </c>
      <c r="J45" s="151">
        <f>SUM(J9:J44)</f>
        <v>-170840.30410000123</v>
      </c>
      <c r="K45" s="152"/>
      <c r="M45" s="168"/>
      <c r="O45" s="137">
        <f>SUM(O9:O44)</f>
        <v>0</v>
      </c>
      <c r="P45" s="137">
        <f>SUM(P9:P44)</f>
        <v>0</v>
      </c>
      <c r="R45" s="137">
        <f>SUM(R9:R44)</f>
        <v>0</v>
      </c>
      <c r="S45" s="137">
        <f>SUM(S9:S44)</f>
        <v>0</v>
      </c>
    </row>
  </sheetData>
  <mergeCells count="5">
    <mergeCell ref="A3:A5"/>
    <mergeCell ref="B3:B5"/>
    <mergeCell ref="R3:S3"/>
    <mergeCell ref="O4:P4"/>
    <mergeCell ref="R4:S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4072_Cutlot_Full</vt:lpstr>
      <vt:lpstr>GPTemplate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ปริญญา จำปาหอม</dc:creator>
  <cp:lastModifiedBy>กนกพร ฐานาริยชัย</cp:lastModifiedBy>
  <dcterms:created xsi:type="dcterms:W3CDTF">2024-01-08T04:54:15Z</dcterms:created>
  <dcterms:modified xsi:type="dcterms:W3CDTF">2024-03-01T06:08:06Z</dcterms:modified>
</cp:coreProperties>
</file>